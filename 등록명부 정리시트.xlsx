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전우성 기사\VScode&amp;python\공고자동화\"/>
    </mc:Choice>
  </mc:AlternateContent>
  <xr:revisionPtr revIDLastSave="0" documentId="13_ncr:1_{FA26CA0D-D727-494F-A8E2-8F674368C7DD}" xr6:coauthVersionLast="47" xr6:coauthVersionMax="47" xr10:uidLastSave="{00000000-0000-0000-0000-000000000000}"/>
  <bookViews>
    <workbookView xWindow="28680" yWindow="-120" windowWidth="29040" windowHeight="15840" xr2:uid="{77F30B3E-703E-402E-AC4A-F08101421A65}"/>
  </bookViews>
  <sheets>
    <sheet name="모집공고 정리시트" sheetId="1" r:id="rId1"/>
    <sheet name="Sheet2" sheetId="2" r:id="rId2"/>
  </sheets>
  <definedNames>
    <definedName name="_xlnm._FilterDatabase" localSheetId="0" hidden="1">'모집공고 정리시트'!$T$2:$Y$98</definedName>
    <definedName name="_xlnm.Extract" localSheetId="0">'모집공고 정리시트'!$T$2:$Y$2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P8" i="1"/>
  <c r="Q8" i="1"/>
  <c r="N8" i="1"/>
  <c r="L13" i="1"/>
  <c r="L14" i="1"/>
  <c r="L15" i="1"/>
  <c r="L18" i="1"/>
  <c r="L19" i="1"/>
  <c r="L27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70" i="1"/>
  <c r="L71" i="1"/>
  <c r="L72" i="1"/>
  <c r="L73" i="1"/>
  <c r="L74" i="1"/>
  <c r="L75" i="1"/>
  <c r="L76" i="1"/>
  <c r="L77" i="1"/>
  <c r="L78" i="1"/>
  <c r="L80" i="1"/>
  <c r="L82" i="1"/>
  <c r="L83" i="1"/>
  <c r="L85" i="1"/>
  <c r="L86" i="1"/>
  <c r="L88" i="1"/>
  <c r="L89" i="1"/>
  <c r="L90" i="1"/>
  <c r="L91" i="1"/>
  <c r="L92" i="1"/>
  <c r="L95" i="1"/>
  <c r="L97" i="1"/>
  <c r="L98" i="1"/>
  <c r="L99" i="1"/>
  <c r="L4" i="1"/>
  <c r="L5" i="1"/>
  <c r="L6" i="1"/>
  <c r="L7" i="1"/>
  <c r="L8" i="1"/>
  <c r="L9" i="1"/>
  <c r="L10" i="1"/>
  <c r="L11" i="1"/>
  <c r="L12" i="1"/>
  <c r="L3" i="1"/>
  <c r="F96" i="1"/>
  <c r="L96" i="1" s="1"/>
  <c r="F94" i="1"/>
  <c r="L94" i="1" s="1"/>
  <c r="F93" i="1"/>
  <c r="L93" i="1" s="1"/>
  <c r="F87" i="1"/>
  <c r="L87" i="1" s="1"/>
  <c r="F84" i="1"/>
  <c r="L84" i="1" s="1"/>
  <c r="F81" i="1"/>
  <c r="L81" i="1" s="1"/>
  <c r="F79" i="1"/>
  <c r="L79" i="1" s="1"/>
  <c r="F69" i="1"/>
  <c r="L69" i="1" s="1"/>
  <c r="F53" i="1"/>
  <c r="L53" i="1" s="1"/>
  <c r="F52" i="1"/>
  <c r="L52" i="1" s="1"/>
  <c r="F28" i="1"/>
  <c r="L28" i="1" s="1"/>
  <c r="F26" i="1"/>
  <c r="L26" i="1" s="1"/>
  <c r="F25" i="1"/>
  <c r="L25" i="1" s="1"/>
  <c r="F24" i="1"/>
  <c r="L24" i="1" s="1"/>
  <c r="F23" i="1"/>
  <c r="L23" i="1" s="1"/>
  <c r="F22" i="1"/>
  <c r="L22" i="1" s="1"/>
  <c r="F21" i="1"/>
  <c r="L21" i="1" s="1"/>
  <c r="F20" i="1"/>
  <c r="L20" i="1" s="1"/>
  <c r="F17" i="1"/>
  <c r="L17" i="1" s="1"/>
  <c r="F16" i="1"/>
  <c r="L16" i="1" s="1"/>
  <c r="R3" i="1"/>
  <c r="G3" i="1" l="1"/>
  <c r="G50" i="1"/>
  <c r="G88" i="1"/>
  <c r="G40" i="1"/>
  <c r="G87" i="1"/>
  <c r="G39" i="1"/>
  <c r="G86" i="1"/>
  <c r="G38" i="1"/>
  <c r="G76" i="1"/>
  <c r="G28" i="1"/>
  <c r="G75" i="1"/>
  <c r="G27" i="1"/>
  <c r="G74" i="1"/>
  <c r="G26" i="1"/>
  <c r="G64" i="1"/>
  <c r="G16" i="1"/>
  <c r="G63" i="1"/>
  <c r="G15" i="1"/>
  <c r="G62" i="1"/>
  <c r="G14" i="1"/>
  <c r="G52" i="1"/>
  <c r="G51" i="1"/>
  <c r="G98" i="1"/>
  <c r="G97" i="1"/>
  <c r="G85" i="1"/>
  <c r="G73" i="1"/>
  <c r="G61" i="1"/>
  <c r="G49" i="1"/>
  <c r="G37" i="1"/>
  <c r="G25" i="1"/>
  <c r="G13" i="1"/>
  <c r="G96" i="1"/>
  <c r="G84" i="1"/>
  <c r="G72" i="1"/>
  <c r="G60" i="1"/>
  <c r="G48" i="1"/>
  <c r="G36" i="1"/>
  <c r="G24" i="1"/>
  <c r="G12" i="1"/>
  <c r="G95" i="1"/>
  <c r="G83" i="1"/>
  <c r="G71" i="1"/>
  <c r="G59" i="1"/>
  <c r="G47" i="1"/>
  <c r="G35" i="1"/>
  <c r="G23" i="1"/>
  <c r="G11" i="1"/>
  <c r="G94" i="1"/>
  <c r="G82" i="1"/>
  <c r="G70" i="1"/>
  <c r="G58" i="1"/>
  <c r="G46" i="1"/>
  <c r="G34" i="1"/>
  <c r="G22" i="1"/>
  <c r="G10" i="1"/>
  <c r="G93" i="1"/>
  <c r="G81" i="1"/>
  <c r="G69" i="1"/>
  <c r="G57" i="1"/>
  <c r="G45" i="1"/>
  <c r="G33" i="1"/>
  <c r="G21" i="1"/>
  <c r="G9" i="1"/>
  <c r="G92" i="1"/>
  <c r="G80" i="1"/>
  <c r="G68" i="1"/>
  <c r="G56" i="1"/>
  <c r="G44" i="1"/>
  <c r="G32" i="1"/>
  <c r="G20" i="1"/>
  <c r="G8" i="1"/>
  <c r="G91" i="1"/>
  <c r="G79" i="1"/>
  <c r="G67" i="1"/>
  <c r="G55" i="1"/>
  <c r="G43" i="1"/>
  <c r="G31" i="1"/>
  <c r="G19" i="1"/>
  <c r="G7" i="1"/>
  <c r="G90" i="1"/>
  <c r="G78" i="1"/>
  <c r="G66" i="1"/>
  <c r="G54" i="1"/>
  <c r="G42" i="1"/>
  <c r="G30" i="1"/>
  <c r="G18" i="1"/>
  <c r="G6" i="1"/>
  <c r="G89" i="1"/>
  <c r="G77" i="1"/>
  <c r="G65" i="1"/>
  <c r="G53" i="1"/>
  <c r="G41" i="1"/>
  <c r="G29" i="1"/>
  <c r="G17" i="1"/>
  <c r="G5" i="1"/>
  <c r="G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8" authorId="0" shapeId="0" xr:uid="{3D8AD54C-613E-4D3B-A114-5BEC836524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회이상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미참여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명부등록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제한됨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명부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해야함</t>
        </r>
        <r>
          <rPr>
            <sz val="9"/>
            <color indexed="81"/>
            <rFont val="Tahoma"/>
            <family val="2"/>
          </rPr>
          <t>..</t>
        </r>
      </text>
    </comment>
  </commentList>
</comments>
</file>

<file path=xl/sharedStrings.xml><?xml version="1.0" encoding="utf-8"?>
<sst xmlns="http://schemas.openxmlformats.org/spreadsheetml/2006/main" count="971" uniqueCount="354">
  <si>
    <t>모집공고일</t>
    <phoneticPr fontId="4" type="noConversion"/>
  </si>
  <si>
    <t>등록상태</t>
    <phoneticPr fontId="4" type="noConversion"/>
  </si>
  <si>
    <t>등록일</t>
    <phoneticPr fontId="4" type="noConversion"/>
  </si>
  <si>
    <t>D-Day</t>
    <phoneticPr fontId="4" type="noConversion"/>
  </si>
  <si>
    <t>등록면허</t>
    <phoneticPr fontId="4" type="noConversion"/>
  </si>
  <si>
    <t>모집 및 지정공고</t>
    <phoneticPr fontId="4" type="noConversion"/>
  </si>
  <si>
    <t>해양환경공단</t>
    <phoneticPr fontId="4" type="noConversion"/>
  </si>
  <si>
    <t>한국어촌어항공단</t>
    <phoneticPr fontId="4" type="noConversion"/>
  </si>
  <si>
    <t>평택지방해양수산청</t>
    <phoneticPr fontId="4" type="noConversion"/>
  </si>
  <si>
    <t>군산지방해양수산청</t>
    <phoneticPr fontId="4" type="noConversion"/>
  </si>
  <si>
    <t>부산지방해양수산청
(부산항건설사무소)</t>
    <phoneticPr fontId="4" type="noConversion"/>
  </si>
  <si>
    <t>목포지방해양수산청</t>
    <phoneticPr fontId="4" type="noConversion"/>
  </si>
  <si>
    <t>울산지방해양수산청</t>
    <phoneticPr fontId="4" type="noConversion"/>
  </si>
  <si>
    <t>대산지방해양수산청</t>
    <phoneticPr fontId="4" type="noConversion"/>
  </si>
  <si>
    <t>인천지방해양수산청</t>
    <phoneticPr fontId="4" type="noConversion"/>
  </si>
  <si>
    <t>포항지방해양수산청</t>
    <phoneticPr fontId="4" type="noConversion"/>
  </si>
  <si>
    <t>여수지방해양수산청</t>
    <phoneticPr fontId="4" type="noConversion"/>
  </si>
  <si>
    <t>마산지방해양수산청</t>
    <phoneticPr fontId="4" type="noConversion"/>
  </si>
  <si>
    <t>동해지방해양수산청</t>
  </si>
  <si>
    <t>해양경찰청</t>
    <phoneticPr fontId="4" type="noConversion"/>
  </si>
  <si>
    <t>한국수자원공사</t>
    <phoneticPr fontId="4" type="noConversion"/>
  </si>
  <si>
    <t>국방시설본부 - C지역(충청)</t>
    <phoneticPr fontId="4" type="noConversion"/>
  </si>
  <si>
    <t>화성시 맑은물사업소</t>
  </si>
  <si>
    <t>당진시(건설과)</t>
    <phoneticPr fontId="4" type="noConversion"/>
  </si>
  <si>
    <t>금산군</t>
    <phoneticPr fontId="4" type="noConversion"/>
  </si>
  <si>
    <t>계룡시
(건설교통과,도시건축과,건축과)</t>
    <phoneticPr fontId="4" type="noConversion"/>
  </si>
  <si>
    <t>보령시(건설과)</t>
    <phoneticPr fontId="4" type="noConversion"/>
  </si>
  <si>
    <t>보령시(수도과)</t>
    <phoneticPr fontId="4" type="noConversion"/>
  </si>
  <si>
    <t>태안군(건설과)</t>
    <phoneticPr fontId="4" type="noConversion"/>
  </si>
  <si>
    <t>예산군</t>
    <phoneticPr fontId="4" type="noConversion"/>
  </si>
  <si>
    <t>서산시</t>
    <phoneticPr fontId="4" type="noConversion"/>
  </si>
  <si>
    <t>서천군</t>
    <phoneticPr fontId="4" type="noConversion"/>
  </si>
  <si>
    <t>청양군(맑은물사업소)</t>
    <phoneticPr fontId="4" type="noConversion"/>
  </si>
  <si>
    <t>부여군(상하수도사업소)</t>
    <phoneticPr fontId="4" type="noConversion"/>
  </si>
  <si>
    <t>논산시(농촌활력과)</t>
    <phoneticPr fontId="4" type="noConversion"/>
  </si>
  <si>
    <t>논산시(도시재생과)</t>
    <phoneticPr fontId="4" type="noConversion"/>
  </si>
  <si>
    <t>논산시(미래전략실)</t>
    <phoneticPr fontId="4" type="noConversion"/>
  </si>
  <si>
    <t>논산시(상하수도과)</t>
    <phoneticPr fontId="4" type="noConversion"/>
  </si>
  <si>
    <t>천안시(건설도로과)</t>
    <phoneticPr fontId="4" type="noConversion"/>
  </si>
  <si>
    <t>홍성군(건설교통과)</t>
    <phoneticPr fontId="4" type="noConversion"/>
  </si>
  <si>
    <t>공주시(건설과)</t>
    <phoneticPr fontId="4" type="noConversion"/>
  </si>
  <si>
    <t>아산시(하수도과)</t>
    <phoneticPr fontId="4" type="noConversion"/>
  </si>
  <si>
    <t>아산시(정원조성과)</t>
    <phoneticPr fontId="4" type="noConversion"/>
  </si>
  <si>
    <t>아산시(건설정책과)</t>
    <phoneticPr fontId="4" type="noConversion"/>
  </si>
  <si>
    <t>충주시, 제천시, 음성군, 단양군, 진천군
증평군, 괴산군, 청주시, 보은군, 옥천군,
영동군</t>
    <phoneticPr fontId="4" type="noConversion"/>
  </si>
  <si>
    <t>한국자산관리공사</t>
    <phoneticPr fontId="4" type="noConversion"/>
  </si>
  <si>
    <t>대전광역시 중구청</t>
    <phoneticPr fontId="4" type="noConversion"/>
  </si>
  <si>
    <t>대전광역시 대덕구청</t>
    <phoneticPr fontId="4" type="noConversion"/>
  </si>
  <si>
    <t>대전광역시 유성구청(도시계획과)</t>
    <phoneticPr fontId="4" type="noConversion"/>
  </si>
  <si>
    <t>대전광역시 유성구청(건축과)</t>
    <phoneticPr fontId="4" type="noConversion"/>
  </si>
  <si>
    <t>대전광역시 서구청(지역경제과)</t>
    <phoneticPr fontId="4" type="noConversion"/>
  </si>
  <si>
    <t>대전광역시 서구청(건설과)</t>
    <phoneticPr fontId="4" type="noConversion"/>
  </si>
  <si>
    <t>대전광역시 동구청(일자리경제과)</t>
    <phoneticPr fontId="4" type="noConversion"/>
  </si>
  <si>
    <t>대전광역시 동구청(건축과)</t>
    <phoneticPr fontId="4" type="noConversion"/>
  </si>
  <si>
    <t>대전광역시 상수도사업본부</t>
    <phoneticPr fontId="4" type="noConversion"/>
  </si>
  <si>
    <t>대전광역시(도시계획과)</t>
    <phoneticPr fontId="4" type="noConversion"/>
  </si>
  <si>
    <t>대전광역시(문화유산과)</t>
    <phoneticPr fontId="4" type="noConversion"/>
  </si>
  <si>
    <t>대전광역시(도시공원과)</t>
    <phoneticPr fontId="4" type="noConversion"/>
  </si>
  <si>
    <t>대전광역시(트램건설과)</t>
    <phoneticPr fontId="4" type="noConversion"/>
  </si>
  <si>
    <t>대전광역시 건설관리본부</t>
    <phoneticPr fontId="4" type="noConversion"/>
  </si>
  <si>
    <t>대전도시공사</t>
    <phoneticPr fontId="4" type="noConversion"/>
  </si>
  <si>
    <t>세종특별자치시 상하수도사업소
(상수도과)</t>
    <phoneticPr fontId="4" type="noConversion"/>
  </si>
  <si>
    <t>세종특별자치시(물관리정책과)</t>
    <phoneticPr fontId="4" type="noConversion"/>
  </si>
  <si>
    <t>세종특별자치시
(산업입지과, 건축과)</t>
    <phoneticPr fontId="4" type="noConversion"/>
  </si>
  <si>
    <t>세종도시교통공사</t>
    <phoneticPr fontId="4" type="noConversion"/>
  </si>
  <si>
    <t>진주, 김해국토관리사무소</t>
    <phoneticPr fontId="4" type="noConversion"/>
  </si>
  <si>
    <t>대구, 포항, 영주국토관리사무소</t>
    <phoneticPr fontId="4" type="noConversion"/>
  </si>
  <si>
    <t>전주국토관리사무소</t>
    <phoneticPr fontId="4" type="noConversion"/>
  </si>
  <si>
    <t>논산국토관리사무소</t>
    <phoneticPr fontId="4" type="noConversion"/>
  </si>
  <si>
    <t>부산지방국토관리청</t>
    <phoneticPr fontId="4" type="noConversion"/>
  </si>
  <si>
    <t>예산국토관리사무소</t>
    <phoneticPr fontId="4" type="noConversion"/>
  </si>
  <si>
    <t>원주지방국토관리청</t>
    <phoneticPr fontId="4" type="noConversion"/>
  </si>
  <si>
    <t>대전지방국토관리청</t>
    <phoneticPr fontId="4" type="noConversion"/>
  </si>
  <si>
    <t>인천국제공항공사</t>
    <phoneticPr fontId="4" type="noConversion"/>
  </si>
  <si>
    <t>한국철도공사(코레일)</t>
    <phoneticPr fontId="4" type="noConversion"/>
  </si>
  <si>
    <t>한국토지주택공사(LH)</t>
    <phoneticPr fontId="4" type="noConversion"/>
  </si>
  <si>
    <t>새만금개발공사</t>
    <phoneticPr fontId="4" type="noConversion"/>
  </si>
  <si>
    <t>새만금개발청</t>
    <phoneticPr fontId="4" type="noConversion"/>
  </si>
  <si>
    <t>국가철도공단</t>
    <phoneticPr fontId="4" type="noConversion"/>
  </si>
  <si>
    <t>한국전력거래소</t>
    <phoneticPr fontId="4" type="noConversion"/>
  </si>
  <si>
    <t>남부지방산림청</t>
    <phoneticPr fontId="4" type="noConversion"/>
  </si>
  <si>
    <t>중부지방산림청</t>
    <phoneticPr fontId="4" type="noConversion"/>
  </si>
  <si>
    <t>해양수산부</t>
    <phoneticPr fontId="4" type="noConversion"/>
  </si>
  <si>
    <r>
      <t xml:space="preserve">환경부
</t>
    </r>
    <r>
      <rPr>
        <b/>
        <sz val="11"/>
        <color rgb="FFFF0000"/>
        <rFont val="맑은 고딕"/>
        <family val="3"/>
        <charset val="129"/>
        <scheme val="minor"/>
      </rPr>
      <t>**24년부터 조달청</t>
    </r>
    <phoneticPr fontId="4" type="noConversion"/>
  </si>
  <si>
    <t>국방부</t>
    <phoneticPr fontId="4" type="noConversion"/>
  </si>
  <si>
    <t>경기도</t>
    <phoneticPr fontId="4" type="noConversion"/>
  </si>
  <si>
    <t>광주광역시</t>
    <phoneticPr fontId="4" type="noConversion"/>
  </si>
  <si>
    <t>충청남도</t>
    <phoneticPr fontId="4" type="noConversion"/>
  </si>
  <si>
    <t>충청북도</t>
    <phoneticPr fontId="4" type="noConversion"/>
  </si>
  <si>
    <t>금융위원회</t>
    <phoneticPr fontId="4" type="noConversion"/>
  </si>
  <si>
    <t>방위사업청</t>
    <phoneticPr fontId="4" type="noConversion"/>
  </si>
  <si>
    <t>농립축산식품부</t>
    <phoneticPr fontId="4" type="noConversion"/>
  </si>
  <si>
    <t>대전광역시</t>
    <phoneticPr fontId="4" type="noConversion"/>
  </si>
  <si>
    <t>세종특별자치시</t>
    <phoneticPr fontId="4" type="noConversion"/>
  </si>
  <si>
    <t>국토교통부</t>
    <phoneticPr fontId="4" type="noConversion"/>
  </si>
  <si>
    <t>산업통상자원부</t>
    <phoneticPr fontId="4" type="noConversion"/>
  </si>
  <si>
    <t>산림청</t>
    <phoneticPr fontId="4" type="noConversion"/>
  </si>
  <si>
    <r>
      <t xml:space="preserve">인천항만공사
</t>
    </r>
    <r>
      <rPr>
        <b/>
        <sz val="10"/>
        <color rgb="FFFF0000"/>
        <rFont val="맑은 고딕"/>
        <family val="3"/>
        <charset val="129"/>
        <scheme val="minor"/>
      </rPr>
      <t>*24년부터 조달청*</t>
    </r>
    <phoneticPr fontId="4" type="noConversion"/>
  </si>
  <si>
    <r>
      <t xml:space="preserve">여수광양항만공사
</t>
    </r>
    <r>
      <rPr>
        <b/>
        <sz val="10"/>
        <color rgb="FFFF0000"/>
        <rFont val="맑은 고딕"/>
        <family val="3"/>
        <charset val="129"/>
        <scheme val="minor"/>
      </rPr>
      <t>*24년부터 조달청*</t>
    </r>
    <phoneticPr fontId="4" type="noConversion"/>
  </si>
  <si>
    <r>
      <t xml:space="preserve">한국환경공단
</t>
    </r>
    <r>
      <rPr>
        <b/>
        <sz val="10"/>
        <color rgb="FFFF0000"/>
        <rFont val="맑은 고딕"/>
        <family val="3"/>
        <charset val="129"/>
        <scheme val="minor"/>
      </rPr>
      <t>*24년부터 조달청*</t>
    </r>
    <phoneticPr fontId="4" type="noConversion"/>
  </si>
  <si>
    <r>
      <t xml:space="preserve">낙동강유역환경청
</t>
    </r>
    <r>
      <rPr>
        <b/>
        <sz val="10"/>
        <color rgb="FFFF0000"/>
        <rFont val="맑은 고딕"/>
        <family val="3"/>
        <charset val="129"/>
        <scheme val="minor"/>
      </rPr>
      <t>*24년부터 조달청*</t>
    </r>
    <phoneticPr fontId="4" type="noConversion"/>
  </si>
  <si>
    <r>
      <t xml:space="preserve">금강유역환경청
</t>
    </r>
    <r>
      <rPr>
        <b/>
        <sz val="10"/>
        <color rgb="FFFF0000"/>
        <rFont val="맑은 고딕"/>
        <family val="3"/>
        <charset val="129"/>
        <scheme val="minor"/>
      </rPr>
      <t>*24년부터 조달청*</t>
    </r>
    <phoneticPr fontId="4" type="noConversion"/>
  </si>
  <si>
    <r>
      <t xml:space="preserve">원주지방환경청
</t>
    </r>
    <r>
      <rPr>
        <b/>
        <sz val="10"/>
        <color rgb="FFFF0000"/>
        <rFont val="맑은 고딕"/>
        <family val="3"/>
        <charset val="129"/>
        <scheme val="minor"/>
      </rPr>
      <t>*24년부터 조달청*</t>
    </r>
    <phoneticPr fontId="4" type="noConversion"/>
  </si>
  <si>
    <r>
      <t xml:space="preserve">한강유역환경청
</t>
    </r>
    <r>
      <rPr>
        <b/>
        <sz val="10"/>
        <color rgb="FFFF0000"/>
        <rFont val="맑은 고딕"/>
        <family val="3"/>
        <charset val="129"/>
        <scheme val="minor"/>
      </rPr>
      <t>*24년부터 조달청*</t>
    </r>
    <phoneticPr fontId="4" type="noConversion"/>
  </si>
  <si>
    <r>
      <t xml:space="preserve">영산강유역환경청
</t>
    </r>
    <r>
      <rPr>
        <b/>
        <sz val="10"/>
        <color rgb="FFFF0000"/>
        <rFont val="맑은 고딕"/>
        <family val="3"/>
        <charset val="129"/>
        <scheme val="minor"/>
      </rPr>
      <t>*24년부터 조달청*</t>
    </r>
    <phoneticPr fontId="4" type="noConversion"/>
  </si>
  <si>
    <r>
      <t xml:space="preserve">광주광역시
(1억원이상 용역만 참여가능)
</t>
    </r>
    <r>
      <rPr>
        <b/>
        <sz val="10"/>
        <color rgb="FFFF0000"/>
        <rFont val="맑은 고딕"/>
        <family val="3"/>
        <charset val="129"/>
        <scheme val="minor"/>
      </rPr>
      <t>*24년부터 조달청*</t>
    </r>
    <phoneticPr fontId="4" type="noConversion"/>
  </si>
  <si>
    <r>
      <t xml:space="preserve">국방과학연구소
</t>
    </r>
    <r>
      <rPr>
        <b/>
        <sz val="10"/>
        <color rgb="FFFF0000"/>
        <rFont val="맑은 고딕"/>
        <family val="3"/>
        <charset val="129"/>
        <scheme val="minor"/>
      </rPr>
      <t>*24년부터 조달청*</t>
    </r>
    <phoneticPr fontId="4" type="noConversion"/>
  </si>
  <si>
    <r>
      <t xml:space="preserve">한국농어촌공사
</t>
    </r>
    <r>
      <rPr>
        <b/>
        <sz val="10"/>
        <color rgb="FFFF0000"/>
        <rFont val="맑은 고딕"/>
        <family val="3"/>
        <charset val="129"/>
        <scheme val="minor"/>
      </rPr>
      <t>*24년부터 조달청*</t>
    </r>
    <phoneticPr fontId="4" type="noConversion"/>
  </si>
  <si>
    <r>
      <t xml:space="preserve">대전교통공사
</t>
    </r>
    <r>
      <rPr>
        <b/>
        <sz val="10"/>
        <color rgb="FFFF0000"/>
        <rFont val="맑은 고딕"/>
        <family val="3"/>
        <charset val="129"/>
        <scheme val="minor"/>
      </rPr>
      <t>*24년부터 조달청*</t>
    </r>
    <phoneticPr fontId="4" type="noConversion"/>
  </si>
  <si>
    <r>
      <t xml:space="preserve">서울지방국토관리청
</t>
    </r>
    <r>
      <rPr>
        <b/>
        <sz val="10"/>
        <color rgb="FFFF0000"/>
        <rFont val="맑은 고딕"/>
        <family val="3"/>
        <charset val="129"/>
        <scheme val="minor"/>
      </rPr>
      <t>조달청 명부 사용</t>
    </r>
    <phoneticPr fontId="4" type="noConversion"/>
  </si>
  <si>
    <r>
      <t xml:space="preserve">익산지방국토관리청
</t>
    </r>
    <r>
      <rPr>
        <b/>
        <sz val="10"/>
        <color rgb="FFFF0000"/>
        <rFont val="맑은 고딕"/>
        <family val="3"/>
        <charset val="129"/>
        <scheme val="minor"/>
      </rPr>
      <t>조달청 명부 사용</t>
    </r>
    <phoneticPr fontId="4" type="noConversion"/>
  </si>
  <si>
    <r>
      <t xml:space="preserve">한국공항공사
</t>
    </r>
    <r>
      <rPr>
        <b/>
        <sz val="10"/>
        <color rgb="FFFF0000"/>
        <rFont val="맑은 고딕"/>
        <family val="3"/>
        <charset val="129"/>
        <scheme val="minor"/>
      </rPr>
      <t>*24년부터 조달청*</t>
    </r>
    <phoneticPr fontId="4" type="noConversion"/>
  </si>
  <si>
    <r>
      <t xml:space="preserve">한국도로공사
</t>
    </r>
    <r>
      <rPr>
        <b/>
        <sz val="10"/>
        <color rgb="FFFF0000"/>
        <rFont val="맑은 고딕"/>
        <family val="3"/>
        <charset val="129"/>
        <scheme val="minor"/>
      </rPr>
      <t>*24년부터 조달청*</t>
    </r>
    <phoneticPr fontId="4" type="noConversion"/>
  </si>
  <si>
    <t>한국수력원자력㈜</t>
    <phoneticPr fontId="4" type="noConversion"/>
  </si>
  <si>
    <r>
      <t xml:space="preserve">한국가스공사
</t>
    </r>
    <r>
      <rPr>
        <b/>
        <sz val="10"/>
        <color rgb="FFFF0000"/>
        <rFont val="맑은 고딕"/>
        <family val="3"/>
        <charset val="129"/>
        <scheme val="minor"/>
      </rPr>
      <t>*24년부터 조달청*</t>
    </r>
    <phoneticPr fontId="4" type="noConversion"/>
  </si>
  <si>
    <r>
      <t xml:space="preserve">한국전력공사
</t>
    </r>
    <r>
      <rPr>
        <b/>
        <sz val="10"/>
        <color rgb="FFFF0000"/>
        <rFont val="맑은 고딕"/>
        <family val="3"/>
        <charset val="129"/>
        <scheme val="minor"/>
      </rPr>
      <t>*24년부터 조달청*</t>
    </r>
    <phoneticPr fontId="4" type="noConversion"/>
  </si>
  <si>
    <r>
      <t xml:space="preserve">한국남동발전
</t>
    </r>
    <r>
      <rPr>
        <b/>
        <sz val="10"/>
        <color rgb="FFFF0000"/>
        <rFont val="맑은 고딕"/>
        <family val="3"/>
        <charset val="129"/>
        <scheme val="minor"/>
      </rPr>
      <t>조달청 명부사용 2권역</t>
    </r>
    <phoneticPr fontId="4" type="noConversion"/>
  </si>
  <si>
    <t>링크</t>
    <phoneticPr fontId="4" type="noConversion"/>
  </si>
  <si>
    <t>등록만기일(표준 : 1년)</t>
    <phoneticPr fontId="4" type="noConversion"/>
  </si>
  <si>
    <t>Today</t>
    <phoneticPr fontId="4" type="noConversion"/>
  </si>
  <si>
    <t>등록</t>
    <phoneticPr fontId="4" type="noConversion"/>
  </si>
  <si>
    <t>공사(종합)
지우(건축,교량 및 터널)</t>
    <phoneticPr fontId="4" type="noConversion"/>
  </si>
  <si>
    <t>소식정보-공지사항</t>
    <phoneticPr fontId="4" type="noConversion"/>
  </si>
  <si>
    <t>미등록</t>
    <phoneticPr fontId="4" type="noConversion"/>
  </si>
  <si>
    <t>지역제한</t>
    <phoneticPr fontId="4" type="noConversion"/>
  </si>
  <si>
    <t>알림소식-새소식-공고/공모
알림소식-새소식-공지사항</t>
    <phoneticPr fontId="4" type="noConversion"/>
  </si>
  <si>
    <t>공사(건축, 항만, 종합)
지우(건축)</t>
    <phoneticPr fontId="4" type="noConversion"/>
  </si>
  <si>
    <t>알림바다-공지사항
알림바다-고시공고</t>
    <phoneticPr fontId="4" type="noConversion"/>
  </si>
  <si>
    <t>공사(종합)
지우(건축, 교량 및 터널)</t>
    <phoneticPr fontId="4" type="noConversion"/>
  </si>
  <si>
    <t>알림마당-공지사항
알림마당-입찰안내-입찰공고</t>
    <phoneticPr fontId="4" type="noConversion"/>
  </si>
  <si>
    <t>공사(항만, 건축)
지우(건축)</t>
    <phoneticPr fontId="4" type="noConversion"/>
  </si>
  <si>
    <t>알림소통-알림-공지사항</t>
    <phoneticPr fontId="4" type="noConversion"/>
  </si>
  <si>
    <t>알림마당-공지사항</t>
    <phoneticPr fontId="4" type="noConversion"/>
  </si>
  <si>
    <t>공사(종합)
지우(건축)</t>
    <phoneticPr fontId="4" type="noConversion"/>
  </si>
  <si>
    <t>알림마당-공지사항
알림마당-훈령/예규/고시/공고-공고</t>
    <phoneticPr fontId="4" type="noConversion"/>
  </si>
  <si>
    <t>놓침</t>
    <phoneticPr fontId="4" type="noConversion"/>
  </si>
  <si>
    <t>알림마당-공지사항
알림마당-고시공고
알림마당-입찰공고</t>
    <phoneticPr fontId="4" type="noConversion"/>
  </si>
  <si>
    <t>알림마당-고시공고</t>
    <phoneticPr fontId="4" type="noConversion"/>
  </si>
  <si>
    <t>공사(건축, 교량 및 터널)
지우(건축, 교량 및 터널)</t>
    <phoneticPr fontId="4" type="noConversion"/>
  </si>
  <si>
    <t>알림마당-공지사항
알림마당-입찰/고시/공고</t>
    <phoneticPr fontId="4" type="noConversion"/>
  </si>
  <si>
    <t>알림마당-공지사항
알림마당-고시공고</t>
    <phoneticPr fontId="4" type="noConversion"/>
  </si>
  <si>
    <t>국민소통-알림마당-새소식
*2024.02.26기준 통합명부를
 사용하지 않는 것으로 확인됨.
 기존명부(23년도)는 우리업체 등록되지 않음.</t>
    <phoneticPr fontId="4" type="noConversion"/>
  </si>
  <si>
    <t>모집공고 : 조달청 통합명부 사용
지정공고 : 국민소통-공고 혹은 나라장터</t>
    <phoneticPr fontId="4" type="noConversion"/>
  </si>
  <si>
    <t>홈페이지 왼쪽 하단 소속기관 클릭하여
소속된 기관들의 홈페이지 내
알림사항-고시공고 들어가서
모집공고 올라오는지 확인</t>
    <phoneticPr fontId="4" type="noConversion"/>
  </si>
  <si>
    <r>
      <t xml:space="preserve">공사(종합)
</t>
    </r>
    <r>
      <rPr>
        <sz val="10"/>
        <color rgb="FFFF0000"/>
        <rFont val="함초롬바탕"/>
        <family val="1"/>
        <charset val="129"/>
      </rPr>
      <t>지우(신용도 미달로 미등록)</t>
    </r>
    <phoneticPr fontId="4" type="noConversion"/>
  </si>
  <si>
    <t>새소식-게시판-공지사항</t>
    <phoneticPr fontId="4" type="noConversion"/>
  </si>
  <si>
    <t>모집공고 : 조달청 통합명부 사용
지정공고 : 열린공간-공지사항</t>
    <phoneticPr fontId="4" type="noConversion"/>
  </si>
  <si>
    <t>알림마당-공지,공고</t>
    <phoneticPr fontId="4" type="noConversion"/>
  </si>
  <si>
    <t>공사(종합)
지우(교량 및 터널)</t>
    <phoneticPr fontId="4" type="noConversion"/>
  </si>
  <si>
    <t>공사(교량 및 터널, 수리)</t>
    <phoneticPr fontId="4" type="noConversion"/>
  </si>
  <si>
    <r>
      <t xml:space="preserve">공사(종합) : </t>
    </r>
    <r>
      <rPr>
        <sz val="10"/>
        <color rgb="FFFF0000"/>
        <rFont val="함초롬바탕"/>
        <family val="1"/>
        <charset val="129"/>
      </rPr>
      <t>안전점검</t>
    </r>
    <r>
      <rPr>
        <sz val="10"/>
        <color rgb="FF000000"/>
        <rFont val="함초롬바탕"/>
        <family val="1"/>
        <charset val="129"/>
      </rPr>
      <t xml:space="preserve">
지우(건축, 교량 및 터널)
</t>
    </r>
    <r>
      <rPr>
        <sz val="10"/>
        <color rgb="FFFF0000"/>
        <rFont val="함초롬바탕"/>
        <family val="1"/>
        <charset val="129"/>
      </rPr>
      <t>: 계획서 검토+안전점검</t>
    </r>
    <phoneticPr fontId="4" type="noConversion"/>
  </si>
  <si>
    <t>정보마당-공지사항</t>
    <phoneticPr fontId="4" type="noConversion"/>
  </si>
  <si>
    <t>행정정보-공고고시-일반공고</t>
    <phoneticPr fontId="4" type="noConversion"/>
  </si>
  <si>
    <r>
      <t xml:space="preserve">모집공고 : </t>
    </r>
    <r>
      <rPr>
        <sz val="9"/>
        <color rgb="FF000000"/>
        <rFont val="함초롬바탕"/>
        <family val="1"/>
        <charset val="129"/>
      </rPr>
      <t>조달청 통합명부 혹은 기존 명부 사용</t>
    </r>
    <r>
      <rPr>
        <sz val="10"/>
        <color rgb="FF000000"/>
        <rFont val="함초롬바탕"/>
        <family val="1"/>
        <charset val="129"/>
      </rPr>
      <t xml:space="preserve"> (기존 명부는 1억원 이상 용역 참여가능)
지정공고 : 시정소식-고시공고/입법예고</t>
    </r>
    <phoneticPr fontId="4" type="noConversion"/>
  </si>
  <si>
    <t>공사(건축)
지우(건축)</t>
    <phoneticPr fontId="4" type="noConversion"/>
  </si>
  <si>
    <t>소식정보-공고알림-고시/공고</t>
    <phoneticPr fontId="4" type="noConversion"/>
  </si>
  <si>
    <t>소통참여-군정알리미-고시/공고</t>
    <phoneticPr fontId="4" type="noConversion"/>
  </si>
  <si>
    <t>충남 지역제한</t>
    <phoneticPr fontId="4" type="noConversion"/>
  </si>
  <si>
    <t>소통/참여-계룡소식-공지사항
소통/참여-계룡소식-고시/공고</t>
    <phoneticPr fontId="4" type="noConversion"/>
  </si>
  <si>
    <t>보령소식-고시공고</t>
    <phoneticPr fontId="4" type="noConversion"/>
  </si>
  <si>
    <t>소통/참여-고시/공고-고시공고
소통/참여-고시/공고-입찰공고
소통/참여-고시/공고-일반공고</t>
    <phoneticPr fontId="4" type="noConversion"/>
  </si>
  <si>
    <r>
      <t xml:space="preserve">23년도 지정공고 참가자격
</t>
    </r>
    <r>
      <rPr>
        <sz val="10"/>
        <color rgb="FFFF0000"/>
        <rFont val="함초롬바탕"/>
        <family val="1"/>
        <charset val="129"/>
      </rPr>
      <t>- 충청남도청 등록명부 사용으로 참여불가하며,
건축과는 충남지역제한</t>
    </r>
    <phoneticPr fontId="4" type="noConversion"/>
  </si>
  <si>
    <t>예산소식-공고-고시공고
예산소식-공고-입찰공고</t>
    <phoneticPr fontId="4" type="noConversion"/>
  </si>
  <si>
    <t>정보공가-시정소식-공고/고시</t>
    <phoneticPr fontId="4" type="noConversion"/>
  </si>
  <si>
    <t>군정소식-공지사항
군정소식-고시공고-일반공고</t>
    <phoneticPr fontId="4" type="noConversion"/>
  </si>
  <si>
    <t>공사(종합)</t>
    <phoneticPr fontId="4" type="noConversion"/>
  </si>
  <si>
    <t>군정소식-고시/공고</t>
    <phoneticPr fontId="4" type="noConversion"/>
  </si>
  <si>
    <r>
      <t xml:space="preserve">소식&amp;정보-시정소식-공지사항
소식&amp;정보-시정소식-공고/고시
</t>
    </r>
    <r>
      <rPr>
        <sz val="10"/>
        <color rgb="FFFF0000"/>
        <rFont val="함초롬바탕"/>
        <family val="1"/>
        <charset val="129"/>
      </rPr>
      <t>과별로 분리(지역 제한 모집분야 다름)</t>
    </r>
    <phoneticPr fontId="4" type="noConversion"/>
  </si>
  <si>
    <t>공사(교량및터널,수리, 항만)
지우(지역제한)</t>
    <phoneticPr fontId="4" type="noConversion"/>
  </si>
  <si>
    <t>공사(수리)</t>
    <phoneticPr fontId="4" type="noConversion"/>
  </si>
  <si>
    <t>소식알림-공고알림-행정공고/고시</t>
    <phoneticPr fontId="4" type="noConversion"/>
  </si>
  <si>
    <t>군정소식-공고/고시</t>
    <phoneticPr fontId="4" type="noConversion"/>
  </si>
  <si>
    <t>공사(건축, 교량 및 터널, 수리)
지우(건축, 교량 및 터널)</t>
    <phoneticPr fontId="4" type="noConversion"/>
  </si>
  <si>
    <t>시정소식-고시공고-일반공고</t>
    <phoneticPr fontId="4" type="noConversion"/>
  </si>
  <si>
    <t>시정-시정공고-고시공고
시정-시정공고-입찰공고
공동주택과 - 지역제한
건설과 - 지역제한</t>
    <phoneticPr fontId="4" type="noConversion"/>
  </si>
  <si>
    <t>공사(교량및터널), 항만</t>
    <phoneticPr fontId="4" type="noConversion"/>
  </si>
  <si>
    <t>충북 지역제한</t>
    <phoneticPr fontId="4" type="noConversion"/>
  </si>
  <si>
    <t>미디어룸-공사소식-공지사항
미디어룸-공사소식-주요 입찰공고</t>
    <phoneticPr fontId="4" type="noConversion"/>
  </si>
  <si>
    <t>알림공간-공지사항</t>
    <phoneticPr fontId="4" type="noConversion"/>
  </si>
  <si>
    <t>모집공고 : 조달청 통합명부 사용 
지정공고 : 사이버 홍보-알림마당-공지사항</t>
    <phoneticPr fontId="4" type="noConversion"/>
  </si>
  <si>
    <t>중구소식-고시/공고</t>
    <phoneticPr fontId="4" type="noConversion"/>
  </si>
  <si>
    <t>구정소식-고시공고-고시공고</t>
    <phoneticPr fontId="4" type="noConversion"/>
  </si>
  <si>
    <t>소식-새소식-공지사항
소식-고시공고-고시공고</t>
    <phoneticPr fontId="4" type="noConversion"/>
  </si>
  <si>
    <t>소식알림-서구소식-공지사항</t>
    <phoneticPr fontId="4" type="noConversion"/>
  </si>
  <si>
    <t>동구소식-고시공고-입찰공고
동구소식-고시공고-고시공고</t>
    <phoneticPr fontId="4" type="noConversion"/>
  </si>
  <si>
    <t>공사(건축, 교량 및 터널, 수리)</t>
    <phoneticPr fontId="4" type="noConversion"/>
  </si>
  <si>
    <t xml:space="preserve">공사(종합) </t>
    <phoneticPr fontId="4" type="noConversion"/>
  </si>
  <si>
    <t>*대전광역시 홈페이지
행정정보-시정자료실-공보(고시공고)
행정정보-시정자료실-대전소식모아보기-
고시공고
*대전도시공사 홈페이지
DCCO 소개-공지사항</t>
    <phoneticPr fontId="4" type="noConversion"/>
  </si>
  <si>
    <t>세종소식-공고/고시-일반공고
세종소식-공고/고시-입찰공고</t>
    <phoneticPr fontId="4" type="noConversion"/>
  </si>
  <si>
    <t>지우(교량 및 터널)</t>
    <phoneticPr fontId="4" type="noConversion"/>
  </si>
  <si>
    <t>공사(종합,건축)
지우(건축)</t>
    <phoneticPr fontId="4" type="noConversion"/>
  </si>
  <si>
    <t>공사(교량 및 터널)
지우(교량 및 터널)</t>
    <phoneticPr fontId="4" type="noConversion"/>
  </si>
  <si>
    <t>개발사업-공지사항-개발사업 공지사항</t>
    <phoneticPr fontId="4" type="noConversion"/>
  </si>
  <si>
    <t>경남 지역제한</t>
    <phoneticPr fontId="4" type="noConversion"/>
  </si>
  <si>
    <t>경북 지역제한</t>
    <phoneticPr fontId="4" type="noConversion"/>
  </si>
  <si>
    <t>공사(토목)
지우(토목)</t>
    <phoneticPr fontId="4" type="noConversion"/>
  </si>
  <si>
    <t>알림마당-공지사항
알림마당-국토관리청공고</t>
    <phoneticPr fontId="4" type="noConversion"/>
  </si>
  <si>
    <t>공사(교량 및 터널, 수리)
지우(교량및터널)</t>
    <phoneticPr fontId="4" type="noConversion"/>
  </si>
  <si>
    <t>예산국토관리사무소-공지사항
보은, 충주, 논산 공지사항도 주기적 확인</t>
    <phoneticPr fontId="4" type="noConversion"/>
  </si>
  <si>
    <t>알림마당-국토관리청공고</t>
    <phoneticPr fontId="4" type="noConversion"/>
  </si>
  <si>
    <t>고객참여-공지사항</t>
    <phoneticPr fontId="4" type="noConversion"/>
  </si>
  <si>
    <t>공사(교량 및 터널, 수리)
지우(X)</t>
    <phoneticPr fontId="4" type="noConversion"/>
  </si>
  <si>
    <t>입찰/계약정보-건설공사정기안전점검</t>
    <phoneticPr fontId="4" type="noConversion"/>
  </si>
  <si>
    <t>홍보센터-홍보-공지사항</t>
    <phoneticPr fontId="4" type="noConversion"/>
  </si>
  <si>
    <t>모집공고 : 조달청 통합명부 사용
지정공고 : 입찰-건설안전점검-지정공고(건설)</t>
    <phoneticPr fontId="4" type="noConversion"/>
  </si>
  <si>
    <r>
      <t>모집공고 : 새소식-공지공모-공모안내
지정공고 : 전자조달사이트 내
                입찰-정기안전점검</t>
    </r>
    <r>
      <rPr>
        <b/>
        <sz val="10"/>
        <color rgb="FF000000"/>
        <rFont val="함초롬바탕"/>
        <family val="1"/>
        <charset val="129"/>
      </rPr>
      <t>(로그인 필요)</t>
    </r>
    <phoneticPr fontId="4" type="noConversion"/>
  </si>
  <si>
    <t>Sc Live-공지사항-고시/공고</t>
    <phoneticPr fontId="4" type="noConversion"/>
  </si>
  <si>
    <t>고시공고</t>
    <phoneticPr fontId="4" type="noConversion"/>
  </si>
  <si>
    <r>
      <t xml:space="preserve">공사(등록)
</t>
    </r>
    <r>
      <rPr>
        <sz val="10"/>
        <color rgb="FFFF0000"/>
        <rFont val="함초롬바탕"/>
        <family val="1"/>
        <charset val="129"/>
      </rPr>
      <t>지우(신용도 미달로 미등록)</t>
    </r>
    <phoneticPr fontId="4" type="noConversion"/>
  </si>
  <si>
    <t>정보마당-KR소식
* 1억원 이상 용역은 점수미달로 참여불가</t>
    <phoneticPr fontId="4" type="noConversion"/>
  </si>
  <si>
    <r>
      <t xml:space="preserve">공사(건축, 교량 및 터널, 수리)
지우(건축, 교량 및 터널)
</t>
    </r>
    <r>
      <rPr>
        <b/>
        <sz val="10"/>
        <color rgb="FF0070C0"/>
        <rFont val="함초롬바탕"/>
        <family val="1"/>
        <charset val="129"/>
      </rPr>
      <t>*등록기간 25.12.31까지</t>
    </r>
    <phoneticPr fontId="4" type="noConversion"/>
  </si>
  <si>
    <t>모집공고 : 입찰공고-사전공고-기타사전공고
지정공고 : 입찰공고-입찰공고조회</t>
    <phoneticPr fontId="4" type="noConversion"/>
  </si>
  <si>
    <t>모집공고 : 조달청 통합명부 사용
지정공고 : 전자조달사이트 내
                입찰공고-입찰공고현황</t>
    <phoneticPr fontId="4" type="noConversion"/>
  </si>
  <si>
    <t>공사(종합) - 2권역
지우(건축) - 2권역</t>
    <phoneticPr fontId="4" type="noConversion"/>
  </si>
  <si>
    <t>모집공고 : 전자조달시스템 공지사항
지정공고 : 전자조달시스템 공지사항</t>
    <phoneticPr fontId="4" type="noConversion"/>
  </si>
  <si>
    <t>모집공고:
지정공고:</t>
    <phoneticPr fontId="4" type="noConversion"/>
  </si>
  <si>
    <t>국민소통광장-기업소통-입찰정보-알림사항
지정공고 전자조달시스템 업무지원</t>
    <phoneticPr fontId="4" type="noConversion"/>
  </si>
  <si>
    <t>모집공고 일정 확인</t>
    <phoneticPr fontId="4" type="noConversion"/>
  </si>
  <si>
    <t>한국시설안전협회</t>
    <phoneticPr fontId="4" type="noConversion"/>
  </si>
  <si>
    <t>조달청 통합명부</t>
    <phoneticPr fontId="4" type="noConversion"/>
  </si>
  <si>
    <t>아이건설넷</t>
    <phoneticPr fontId="4" type="noConversion"/>
  </si>
  <si>
    <t>나라장터</t>
    <phoneticPr fontId="4" type="noConversion"/>
  </si>
  <si>
    <t>http://www.assi.or.kr/sub/board/gongji.asp?boardname=gongji</t>
    <phoneticPr fontId="4" type="noConversion"/>
  </si>
  <si>
    <t>https://www.pps.go.kr/kor/bbs/list.do?key=00641</t>
    <phoneticPr fontId="4" type="noConversion"/>
  </si>
  <si>
    <t>https://www.igunsul.net/</t>
    <phoneticPr fontId="4" type="noConversion"/>
  </si>
  <si>
    <t>https://www.g2b.go.kr/index.jsp</t>
    <phoneticPr fontId="4" type="noConversion"/>
  </si>
  <si>
    <t>https://www.koem.or.kr/site/koem/ex/board/List.do?cbIdx=236</t>
    <phoneticPr fontId="4" type="noConversion"/>
  </si>
  <si>
    <t>https://www.fipa.or.kr/fipa/bbs/i-326/list.do</t>
    <phoneticPr fontId="4" type="noConversion"/>
  </si>
  <si>
    <t>https://pyeongtaek.mof.go.kr/ko/board.do?menuIdx=2122</t>
    <phoneticPr fontId="4" type="noConversion"/>
  </si>
  <si>
    <t>https://gunsan.mof.go.kr/ko/board.do?menuIdx=1111</t>
    <phoneticPr fontId="4" type="noConversion"/>
  </si>
  <si>
    <t>https://busan.mof.go.kr/ko/board.do?menuIdx=4469</t>
    <phoneticPr fontId="4" type="noConversion"/>
  </si>
  <si>
    <t>https://mokpo.mof.go.kr/ko/board.do?menuIdx=1312</t>
    <phoneticPr fontId="4" type="noConversion"/>
  </si>
  <si>
    <t>https://ulsan.mof.go.kr/ko/board.do?menuIdx=871</t>
    <phoneticPr fontId="4" type="noConversion"/>
  </si>
  <si>
    <t>https://daesan.mof.go.kr/ko/board.do?menuIdx=3016</t>
    <phoneticPr fontId="4" type="noConversion"/>
  </si>
  <si>
    <t>https://incheon.mof.go.kr/ko/board.do?menuIdx=1689</t>
    <phoneticPr fontId="4" type="noConversion"/>
  </si>
  <si>
    <t>https://pohang.mof.go.kr/ko/board.do?menuIdx=2849</t>
    <phoneticPr fontId="4" type="noConversion"/>
  </si>
  <si>
    <t>https://yeosu.mof.go.kr/ko/board.do?menuIdx=3808</t>
    <phoneticPr fontId="4" type="noConversion"/>
  </si>
  <si>
    <t>https://masan.mof.go.kr/ko/board.do?menuIdx=3676</t>
    <phoneticPr fontId="4" type="noConversion"/>
  </si>
  <si>
    <t>https://donghae.mof.go.kr/ko/board.do?menuIdx=2540</t>
    <phoneticPr fontId="4" type="noConversion"/>
  </si>
  <si>
    <t>https://www.icpa.or.kr/article/list.do?menuKey=397&amp;boardKey=213</t>
    <phoneticPr fontId="4" type="noConversion"/>
  </si>
  <si>
    <t>https://www.ygpa.or.kr/hmpg/ygpa/comu/anno/bordContListPage.do?bbs_no=275</t>
    <phoneticPr fontId="4" type="noConversion"/>
  </si>
  <si>
    <t>https://www.kcg.go.kr/kcg/main.do</t>
    <phoneticPr fontId="4" type="noConversion"/>
  </si>
  <si>
    <t>https://www.kwater.or.kr/news/sub01/noti01List.do?s_mid=105&amp;brdId=KO27</t>
    <phoneticPr fontId="4" type="noConversion"/>
  </si>
  <si>
    <t>https://ebid.kwater.or.kr/wq/index.do?w2xPath=%2fui%2findex.xml</t>
    <phoneticPr fontId="4" type="noConversion"/>
  </si>
  <si>
    <t>https://www.keco.or.kr/web/lay1/bbs/S1T10C108/A/18/list.do</t>
    <phoneticPr fontId="4" type="noConversion"/>
  </si>
  <si>
    <t>http://www.me.go.kr/ndg/web/index.do?menuId=3283</t>
    <phoneticPr fontId="4" type="noConversion"/>
  </si>
  <si>
    <t>http://www.me.go.kr/gg/web/board/list.do?menuId=2284&amp;boardMasterId=235&amp;boardCategoryId=&amp;maxIndexPages=10&amp;condition.hideCate=&amp;condition.createId=&amp;decorator=&amp;condition.proxyParam1=&amp;condition.proxyParam2=&amp;condition.proxyParam3=&amp;proxyListPath=&amp;proxyReadPath=&amp;searchKey=title&amp;searchValue=&amp;condition.fromDate=&amp;picker_year=2024&amp;picker_month=7&amp;condition.toDate=&amp;picker_year=2024&amp;picker_month=7</t>
    <phoneticPr fontId="4" type="noConversion"/>
  </si>
  <si>
    <t>https://me.go.kr/wonju/web/index.do?menuId=1050</t>
    <phoneticPr fontId="4" type="noConversion"/>
  </si>
  <si>
    <t>http://www.me.go.kr/hg/web/index.do?menuId=1255</t>
  </si>
  <si>
    <t>http://me.go.kr/ysg/web/index.do?menuId=4284</t>
    <phoneticPr fontId="4" type="noConversion"/>
  </si>
  <si>
    <t>https://www.dia.mil.kr/dia/4459/subview.do</t>
    <phoneticPr fontId="4" type="noConversion"/>
  </si>
  <si>
    <t>https://www.hscity.go.kr/www/gosi/BD_selectGosiList.do?q_cp=&amp;q_notAncmtSeCode=04&amp;q_notAncmtMgtNo=&amp;q_sc=&amp;q_depNm=&amp;q_sv=&amp;q_rowPerPage=10&amp;q_currPage=1&amp;q_sortName=&amp;q_sortOrder=</t>
    <phoneticPr fontId="4" type="noConversion"/>
  </si>
  <si>
    <t>https://www.gwangju.go.kr/contentsView.do?pageId=www791</t>
    <phoneticPr fontId="4" type="noConversion"/>
  </si>
  <si>
    <t>https://www.dangjin.go.kr/kor/sub03_02_01_01.do</t>
    <phoneticPr fontId="4" type="noConversion"/>
  </si>
  <si>
    <t>https://www.geumsan.go.kr/kr/html/sub03/030302.html</t>
    <phoneticPr fontId="4" type="noConversion"/>
  </si>
  <si>
    <t>https://gyeryong.go.kr/kr/html/sub03/030102.html</t>
    <phoneticPr fontId="4" type="noConversion"/>
  </si>
  <si>
    <t>https://www.brcn.go.kr/prog/eminwon/kor/BB/sub04_03_01/list.do</t>
    <phoneticPr fontId="4" type="noConversion"/>
  </si>
  <si>
    <t>https://www.taean.go.kr/kor/sub02_03_01.do</t>
    <phoneticPr fontId="4" type="noConversion"/>
  </si>
  <si>
    <t>https://www.yesan.go.kr/prog/saeolGosi/GOSI/kor/sub04_03_01/list.do</t>
    <phoneticPr fontId="4" type="noConversion"/>
  </si>
  <si>
    <t>https://www.seosan.go.kr/www/contents.do?key=1258</t>
    <phoneticPr fontId="4" type="noConversion"/>
  </si>
  <si>
    <t>https://www.seocheon.go.kr/kor/sub04_06_03.do</t>
    <phoneticPr fontId="4" type="noConversion"/>
  </si>
  <si>
    <t>https://www.cheongyang.go.kr/kor/sub04_02_03.do</t>
    <phoneticPr fontId="4" type="noConversion"/>
  </si>
  <si>
    <t>https://www.buyeo.go.kr/html/kr/news/news_040202.html</t>
    <phoneticPr fontId="4" type="noConversion"/>
  </si>
  <si>
    <t>https://www.nonsan.go.kr/kor/html/sub03/030102.html</t>
    <phoneticPr fontId="4" type="noConversion"/>
  </si>
  <si>
    <t>https://www.cheonan.go.kr/prog/saeolGosi/GOSI/kor/sub02_02_01/list.do</t>
    <phoneticPr fontId="4" type="noConversion"/>
  </si>
  <si>
    <t>https://www.hongseong.go.kr/prog/saeolGosi/kor/sub03_0204/GOSI_ALL/list.do</t>
  </si>
  <si>
    <t>https://www.gongju.go.kr/prog/saeolGosi/GOSI_03/sub04_03_03/list.do</t>
    <phoneticPr fontId="4" type="noConversion"/>
  </si>
  <si>
    <t>https://www.asan.go.kr/main/cms/?no=257</t>
    <phoneticPr fontId="4" type="noConversion"/>
  </si>
  <si>
    <t>https://www.chungju.go.kr/www/selectEminwonList.do?key=510&amp;ofr_pageSize=10&amp;ancmt_se_code=01,02,04&amp;pageIndex=1</t>
    <phoneticPr fontId="4" type="noConversion"/>
  </si>
  <si>
    <t>https://www.kamco.or.kr/portal/bbs/list.do?ptIdx=380&amp;mId=0701010000</t>
    <phoneticPr fontId="4" type="noConversion"/>
  </si>
  <si>
    <t>https://www.add.re.kr/board?menuId=MENU02198&amp;siteId=SITE00002</t>
  </si>
  <si>
    <t>https://www.ekr.or.kr/planweb/board/list.krc?contentUid=402880317cc0644a017cc0c9da9f0120&amp;boardUid=402880317cc0644a017cc5e8000f06b7&amp;contentUid=402880317cc0644a017cc0c9da9f0120&amp;subPath=</t>
    <phoneticPr fontId="4" type="noConversion"/>
  </si>
  <si>
    <t>https://www.djjunggu.go.kr/prog/saeolGosi/GOSI/sub03_06/list.do</t>
    <phoneticPr fontId="4" type="noConversion"/>
  </si>
  <si>
    <t>https://www.daedeok.go.kr/dpt/dpt04/DPT040204_cmmBoardList.do</t>
    <phoneticPr fontId="4" type="noConversion"/>
  </si>
  <si>
    <t>https://www.yuseong.go.kr/prog/saeolGosi/GOSI/kor/sub04_02_01/list.do</t>
    <phoneticPr fontId="4" type="noConversion"/>
  </si>
  <si>
    <t>https://www.seogu.go.kr/prog/saeolGosi/GOSI/kor/sub04_02_01/list.do</t>
    <phoneticPr fontId="4" type="noConversion"/>
  </si>
  <si>
    <t>https://www.donggu.go.kr/dg/kor/contents/914</t>
    <phoneticPr fontId="4" type="noConversion"/>
  </si>
  <si>
    <t>https://daejeon.go.kr/drh/drhGosiList.do?gosigbn=A&amp;menuSeq=1908</t>
  </si>
  <si>
    <t>https://www.dcco.kr/web/board/list.do?mId=113&amp;keyField=subject&amp;key=</t>
    <phoneticPr fontId="4" type="noConversion"/>
  </si>
  <si>
    <t>https://www.djtc.kr/kor/index.do</t>
    <phoneticPr fontId="4" type="noConversion"/>
  </si>
  <si>
    <t>https://www.sejong.go.kr/prog/publicNotice/kor/sub02_0303/C1/list.do</t>
    <phoneticPr fontId="4" type="noConversion"/>
  </si>
  <si>
    <t>https://www.sctc.kr/bbs/BBSS2110052039540671</t>
    <phoneticPr fontId="4" type="noConversion"/>
  </si>
  <si>
    <t>https://www.molit.go.kr/brocm/USR/BORD0201/m_20654/LST.jsp</t>
    <phoneticPr fontId="4" type="noConversion"/>
  </si>
  <si>
    <t>https://www.molit.go.kr/brocm/USR/WPGE0201/m_21030/DTL.jsp</t>
    <phoneticPr fontId="4" type="noConversion"/>
  </si>
  <si>
    <t>https://www.molit.go.kr/irocm/USR/BORD0201/m_19805/LST.jsp</t>
    <phoneticPr fontId="4" type="noConversion"/>
  </si>
  <si>
    <t>https://www.molit.go.kr/drocm/USR/BORD0201/m_20242/LST.jsp</t>
    <phoneticPr fontId="4" type="noConversion"/>
  </si>
  <si>
    <t>https://www.molit.go.kr/brocm/USR/BORD0201/m_15109/BRD.jsp</t>
    <phoneticPr fontId="4" type="noConversion"/>
  </si>
  <si>
    <t>http://www.molit.go.kr/srocm/USR/BORD0201/m_13078/BRD.jsp</t>
    <phoneticPr fontId="4" type="noConversion"/>
  </si>
  <si>
    <t>http://www.molit.go.kr/drocm/USR/BORD0201/m_20474/LST.jsp</t>
    <phoneticPr fontId="4" type="noConversion"/>
  </si>
  <si>
    <t>http://www.molit.go.kr/irocm/USR/BORD0201/m_15643/BRD.jsp</t>
    <phoneticPr fontId="4" type="noConversion"/>
  </si>
  <si>
    <t>http://www.molit.go.kr/wrocm/USR/BORD0201/m_15959/BRD.jsp</t>
    <phoneticPr fontId="4" type="noConversion"/>
  </si>
  <si>
    <t>http://www.molit.go.kr/drocm/USR/BORD0201/m_16064/BRD.jsp</t>
    <phoneticPr fontId="4" type="noConversion"/>
  </si>
  <si>
    <t>https://www.airport.co.kr/www/cms/FrCon/index.do?MENU_ID=1100</t>
    <phoneticPr fontId="4" type="noConversion"/>
  </si>
  <si>
    <t>http://ebid.airport.kr</t>
    <phoneticPr fontId="4" type="noConversion"/>
  </si>
  <si>
    <t>https://info.korail.com/info/selectBbsNttList.do?bbsNo=200&amp;key=910</t>
    <phoneticPr fontId="4" type="noConversion"/>
  </si>
  <si>
    <t>https://ebid.ex.co.kr/default.do</t>
    <phoneticPr fontId="4" type="noConversion"/>
  </si>
  <si>
    <t>https://www.lh.or.kr/board.es?mid=a10601020000&amp;bid=0034</t>
    <phoneticPr fontId="4" type="noConversion"/>
  </si>
  <si>
    <t>https://ebid.lh.or.kr/ebid.com.cmd.MainCmd.dev</t>
    <phoneticPr fontId="4" type="noConversion"/>
  </si>
  <si>
    <t>https://www.sdco.or.kr/board.es?mid=a10601020000&amp;bid=0007</t>
    <phoneticPr fontId="4" type="noConversion"/>
  </si>
  <si>
    <t>https://www.saemangeum.go.kr/sda/brd/list.do?key=2009075580577</t>
    <phoneticPr fontId="4" type="noConversion"/>
  </si>
  <si>
    <t>https://www.kr.or.kr/boardCnts/list.do?boardID=51</t>
  </si>
  <si>
    <t>https://ebiz.khnp.co.kr/login.do#</t>
    <phoneticPr fontId="4" type="noConversion"/>
  </si>
  <si>
    <t>https://www.kogas.or.kr/site/koGas/goBoard.do?boardNo=6&amp;Key=1010201000000</t>
    <phoneticPr fontId="4" type="noConversion"/>
  </si>
  <si>
    <t>https://bid.kogas.or.kr:9443/supplier/index.jsp</t>
    <phoneticPr fontId="4" type="noConversion"/>
  </si>
  <si>
    <t>https://srm.kepco.net/mdi.do</t>
    <phoneticPr fontId="4" type="noConversion"/>
  </si>
  <si>
    <t>https://new.kpx.or.kr/board.es?mid=a11201000000&amp;bid=0042</t>
    <phoneticPr fontId="4" type="noConversion"/>
  </si>
  <si>
    <t xml:space="preserve">https://www.koenergy.kr/kosep/fr/bo/board/main.do?menuCd=FN05020101
</t>
    <phoneticPr fontId="4" type="noConversion"/>
  </si>
  <si>
    <t>https://www.forest.go.kr/kfsweb/cop/bbs/selectBoardList.do?bbsId=BBSMSTR_1032&amp;mn=NKFS_04_01_02</t>
    <phoneticPr fontId="4" type="noConversion"/>
  </si>
  <si>
    <t>발주처</t>
    <phoneticPr fontId="4" type="noConversion"/>
  </si>
  <si>
    <t>분류</t>
    <phoneticPr fontId="4" type="noConversion"/>
  </si>
  <si>
    <t>-</t>
    <phoneticPr fontId="4" type="noConversion"/>
  </si>
  <si>
    <t>기간 만료</t>
  </si>
  <si>
    <t>미등록</t>
  </si>
  <si>
    <t>추가 검토 필요한 리스트</t>
  </si>
  <si>
    <t xml:space="preserve"> - 국토안전관리원(KALIS)</t>
  </si>
  <si>
    <t xml:space="preserve"> - 주식회사 에스알(SR) 및 공항철도</t>
  </si>
  <si>
    <t xml:space="preserve"> - 서울교통공사</t>
  </si>
  <si>
    <t xml:space="preserve"> - 충청북도개발공사</t>
  </si>
  <si>
    <t xml:space="preserve"> - 충청남도개발공사</t>
  </si>
  <si>
    <t xml:space="preserve"> - 충주국토관리사무소</t>
  </si>
  <si>
    <t xml:space="preserve"> - 보은국토관리사무소</t>
  </si>
  <si>
    <t xml:space="preserve"> - 충청북도청 및 충청남도청</t>
  </si>
  <si>
    <t xml:space="preserve"> - 충청권 관할 교육청</t>
  </si>
  <si>
    <t xml:space="preserve"> - 한국중부발전</t>
  </si>
  <si>
    <t xml:space="preserve"> - 한국서부발전</t>
  </si>
  <si>
    <t xml:space="preserve"> - 한국동서발전</t>
  </si>
  <si>
    <t xml:space="preserve"> - 한국남부발전</t>
  </si>
  <si>
    <t xml:space="preserve"> - 한국지역난방공사</t>
  </si>
  <si>
    <t xml:space="preserve"> - 항만공사</t>
  </si>
  <si>
    <t xml:space="preserve"> - 산림청</t>
  </si>
  <si>
    <t xml:space="preserve"> - 한국국토정보공사(LX)</t>
  </si>
  <si>
    <t xml:space="preserve"> - 대전광역시시설관리공단</t>
  </si>
  <si>
    <t xml:space="preserve"> - 세종특별자치시시설관리공단</t>
  </si>
  <si>
    <t xml:space="preserve"> - 청주시시설관리공단</t>
  </si>
  <si>
    <t xml:space="preserve"> - 천안시시설관리공단</t>
  </si>
  <si>
    <t xml:space="preserve"> - 한국원자력연구원(KAERI)</t>
  </si>
  <si>
    <t xml:space="preserve"> - 한국항공우주연구원(KARI)</t>
  </si>
  <si>
    <t xml:space="preserve"> - 과학기술연합대학원대학교(UST)</t>
  </si>
  <si>
    <t xml:space="preserve"> - 금강홍수통제소</t>
  </si>
  <si>
    <t xml:space="preserve"> - 한강, 낙동강, 영산강 홍수통제소</t>
  </si>
  <si>
    <t xml:space="preserve"> - 한국교통안전공단(TS)</t>
  </si>
  <si>
    <t xml:space="preserve"> - 한국산업단지공단</t>
  </si>
  <si>
    <t>-----------------------------------------------------------------</t>
  </si>
  <si>
    <t>나라장터에 통합검색이 불가능한 리스트 간단 정리</t>
  </si>
  <si>
    <t xml:space="preserve"> - 대전광역시청 고시공고</t>
  </si>
  <si>
    <t xml:space="preserve"> - 세종특별자치시청 고시공고</t>
  </si>
  <si>
    <t xml:space="preserve"> - 충청남도청 고시공고</t>
  </si>
  <si>
    <t xml:space="preserve"> - 국토교통부 및 지방국토관리청</t>
  </si>
  <si>
    <t xml:space="preserve"> - 국가철도공단 정보마당</t>
  </si>
  <si>
    <t xml:space="preserve"> - 한국도로공사 전자조달시스템</t>
  </si>
  <si>
    <t xml:space="preserve"> - 각 지방해양수산청</t>
  </si>
  <si>
    <t xml:space="preserve"> - 한국어촌어항공단</t>
  </si>
  <si>
    <t xml:space="preserve"> - 한전 및 발전사 통합 전자조달시스템</t>
  </si>
  <si>
    <t>https://gemini.google.com/app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</si>
</sst>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2" formatCode="_-&quot;₩&quot;* #,##0_-;\-&quot;₩&quot;* #,##0_-;_-&quot;₩&quot;* &quot;-&quot;_-;_-@_-"/>
    <numFmt numFmtId="43" formatCode="_-* #,##0.00_-;\-* #,##0.00_-;_-* &quot;-&quot;??_-;_-@_-"/>
    <numFmt numFmtId="176" formatCode="0_);[Red]\(0\)"/>
    <numFmt numFmtId="177" formatCode="_-&quot;₩&quot;* #,##0_-;\-&quot;₩&quot;* #,##0_-;_-&quot;₩&quot;* &quot;-&quot;_-;_-@_-"/>
    <numFmt numFmtId="178" formatCode="_-* #,##0_-;\-* #,##0_-;_-* &quot;-&quot;_-;_-@_-"/>
    <numFmt numFmtId="179" formatCode="_-&quot;₩&quot;* #,##0.00_-;\-&quot;₩&quot;* #,##0.00_-;_-&quot;₩&quot;* &quot;-&quot;??_-;_-@_-"/>
    <numFmt numFmtId="180" formatCode="_-* #,##0.00_-;\-* #,##0.00_-;_-* &quot;-&quot;??_-;_-@_-"/>
    <numFmt numFmtId="181" formatCode="&quot;$&quot;#,##0"/>
    <numFmt numFmtId="182" formatCode="0.00;[Red]0.00"/>
    <numFmt numFmtId="183" formatCode="_ * #,##0.00_ ;_ * \-#,##0.00_ ;_ * &quot;-&quot;??_ ;_ @_ "/>
    <numFmt numFmtId="184" formatCode="&quot;$&quot;#,##0_);[Red]\(&quot;$&quot;#,##0\)"/>
    <numFmt numFmtId="185" formatCode="0&quot;   &quot;"/>
    <numFmt numFmtId="186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187" formatCode="#,##0.00_ "/>
    <numFmt numFmtId="188" formatCode="&quot;₩&quot;#,##0.00;&quot;₩&quot;\-#,##0.00"/>
    <numFmt numFmtId="189" formatCode="_ &quot;₩&quot;* #,##0_ ;_ &quot;₩&quot;* \-#,##0_ ;_ &quot;₩&quot;* &quot;-&quot;_ ;_ @_ "/>
    <numFmt numFmtId="190" formatCode="_ &quot;₩&quot;* #,##0.00_ ;_ &quot;₩&quot;* \-#,##0.00_ ;_ &quot;₩&quot;* &quot;-&quot;??_ ;_ @_ "/>
    <numFmt numFmtId="191" formatCode="_-[$€-2]* #,##0.00_-;\-[$€-2]* #,##0.00_-;_-[$€-2]* &quot;-&quot;??_-"/>
    <numFmt numFmtId="192" formatCode="General_)"/>
    <numFmt numFmtId="193" formatCode="0.0_)"/>
    <numFmt numFmtId="194" formatCode="&quot;₩&quot;#,##0;[Red]&quot;₩&quot;\-#,##0"/>
    <numFmt numFmtId="195" formatCode="&quot;₩&quot;#,##0.00;[Red]&quot;₩&quot;\-#,##0.00"/>
    <numFmt numFmtId="196" formatCode="0.00000%"/>
    <numFmt numFmtId="197" formatCode="&quot;₩&quot;#,##0;&quot;₩&quot;\-#,##0"/>
    <numFmt numFmtId="198" formatCode="_ * #,##0_ ;_ * \-#,##0_ ;_ * &quot;-&quot;_ ;_ @_ "/>
    <numFmt numFmtId="199" formatCode="0.000"/>
    <numFmt numFmtId="200" formatCode="0.000%"/>
    <numFmt numFmtId="201" formatCode="#,##0.0_ "/>
    <numFmt numFmtId="202" formatCode="_-* #,##0.0_-;\-* #,##0.0_-;_-* &quot;-&quot;??_-;_-@_-"/>
    <numFmt numFmtId="203" formatCode="0.00000_ "/>
    <numFmt numFmtId="204" formatCode="0.00_ "/>
    <numFmt numFmtId="205" formatCode="\=\ \ \ \ #,##0"/>
    <numFmt numFmtId="206" formatCode="0\ \ \="/>
    <numFmt numFmtId="207" formatCode="_ * #,##0_ ;_ * &quot;₩&quot;&quot;₩&quot;\-#,##0_ ;_ * &quot;-&quot;_ ;_ @_ "/>
    <numFmt numFmtId="208" formatCode="0_ "/>
    <numFmt numFmtId="209" formatCode="&quot;₩&quot;#,##0;[Red]&quot;₩&quot;&quot;₩&quot;\-#,##0"/>
    <numFmt numFmtId="210" formatCode="&quot;₩&quot;#,##0.00;[Red]&quot;₩&quot;&quot;₩&quot;&quot;₩&quot;&quot;₩&quot;&quot;₩&quot;&quot;₩&quot;&quot;₩&quot;&quot;₩&quot;&quot;₩&quot;&quot;₩&quot;&quot;₩&quot;&quot;₩&quot;&quot;₩&quot;&quot;₩&quot;&quot;₩&quot;\-#,##0.00"/>
    <numFmt numFmtId="211" formatCode="_-* #,##0.00_-;\-* #,##0.00_-;_-* &quot;-&quot;_-;_-@_-"/>
    <numFmt numFmtId="212" formatCode="0.00_);[Red]\(0.00\)"/>
    <numFmt numFmtId="213" formatCode="\=\ \ \ \ 0"/>
    <numFmt numFmtId="214" formatCode="&quot;₩&quot;#,##0;[Red]&quot;₩&quot;&quot;₩&quot;&quot;₩&quot;&quot;₩&quot;&quot;₩&quot;&quot;₩&quot;&quot;₩&quot;&quot;₩&quot;&quot;₩&quot;&quot;₩&quot;&quot;₩&quot;&quot;₩&quot;&quot;₩&quot;&quot;₩&quot;&quot;₩&quot;\-#,##0"/>
    <numFmt numFmtId="215" formatCode="&quot;₩&quot;#,##0;&quot;₩&quot;&quot;₩&quot;&quot;₩&quot;&quot;₩&quot;&quot;₩&quot;&quot;₩&quot;&quot;₩&quot;&quot;₩&quot;&quot;₩&quot;&quot;₩&quot;&quot;₩&quot;&quot;₩&quot;&quot;₩&quot;&quot;₩&quot;&quot;₩&quot;\-#,##0"/>
    <numFmt numFmtId="216" formatCode="_ &quot;₩&quot;* #,##0_ ;_ &quot;₩&quot;* &quot;₩&quot;&quot;₩&quot;&quot;₩&quot;&quot;₩&quot;&quot;₩&quot;&quot;₩&quot;&quot;₩&quot;&quot;₩&quot;&quot;₩&quot;&quot;₩&quot;&quot;₩&quot;&quot;₩&quot;&quot;₩&quot;&quot;₩&quot;\-#,##0_ ;_ &quot;₩&quot;* &quot;-&quot;_ ;_ @_ "/>
  </numFmts>
  <fonts count="1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함초롬바탕"/>
      <family val="1"/>
      <charset val="129"/>
    </font>
    <font>
      <sz val="10"/>
      <color rgb="FF000000"/>
      <name val="함초롬바탕"/>
      <family val="1"/>
      <charset val="129"/>
    </font>
    <font>
      <sz val="10"/>
      <color rgb="FF00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함초롬바탕"/>
      <family val="1"/>
      <charset val="129"/>
    </font>
    <font>
      <sz val="10"/>
      <color rgb="FFFF0000"/>
      <name val="함초롬바탕"/>
      <family val="1"/>
      <charset val="129"/>
    </font>
    <font>
      <sz val="10"/>
      <color rgb="FF0070C0"/>
      <name val="함초롬바탕"/>
      <family val="1"/>
      <charset val="129"/>
    </font>
    <font>
      <sz val="9"/>
      <color rgb="FF000000"/>
      <name val="함초롬바탕"/>
      <family val="1"/>
      <charset val="129"/>
    </font>
    <font>
      <b/>
      <sz val="10"/>
      <color rgb="FF000000"/>
      <name val="함초롬바탕"/>
      <family val="1"/>
      <charset val="129"/>
    </font>
    <font>
      <b/>
      <sz val="10"/>
      <color rgb="FF0070C0"/>
      <name val="함초롬바탕"/>
      <family val="1"/>
      <charset val="129"/>
    </font>
    <font>
      <b/>
      <sz val="2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rgb="FFFF0000"/>
      <name val="맑은 고딕"/>
      <family val="2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u/>
      <sz val="10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u/>
      <sz val="10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6"/>
      <color rgb="FF000000"/>
      <name val="함초롬바탕"/>
      <family val="1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1"/>
      <name val="ⓒoUAAA¨u"/>
      <family val="1"/>
      <charset val="129"/>
    </font>
    <font>
      <sz val="11"/>
      <name val="￥i￠￢￠?o"/>
      <family val="3"/>
      <charset val="129"/>
    </font>
    <font>
      <sz val="12"/>
      <name val="Times New Roman"/>
      <family val="1"/>
    </font>
    <font>
      <sz val="1"/>
      <color indexed="16"/>
      <name val="Courier"/>
      <family val="3"/>
    </font>
    <font>
      <sz val="11"/>
      <name val="굴림체"/>
      <family val="3"/>
      <charset val="129"/>
    </font>
    <font>
      <sz val="12"/>
      <name val="¹UAAA¼"/>
      <family val="3"/>
      <charset val="129"/>
    </font>
    <font>
      <sz val="11"/>
      <name val="µ¸¿ò"/>
      <family val="3"/>
      <charset val="129"/>
    </font>
    <font>
      <sz val="10"/>
      <name val="MS Sans Serif"/>
      <family val="2"/>
    </font>
    <font>
      <sz val="10"/>
      <name val="μ¸¿oA¼"/>
      <family val="3"/>
      <charset val="129"/>
    </font>
    <font>
      <sz val="8"/>
      <name val="¹UAAA¼"/>
      <family val="3"/>
      <charset val="129"/>
    </font>
    <font>
      <sz val="12"/>
      <name val="¹ÙÅÁÃ¼"/>
      <family val="1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2"/>
      <name val="굴림체"/>
      <family val="3"/>
      <charset val="129"/>
    </font>
    <font>
      <sz val="11"/>
      <name val="가는각진제목체"/>
      <family val="1"/>
      <charset val="129"/>
    </font>
    <font>
      <sz val="10"/>
      <name val="MS Serif"/>
      <family val="1"/>
    </font>
    <font>
      <sz val="10"/>
      <name val="Times New Roman"/>
      <family val="1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i/>
      <sz val="12"/>
      <name val="Times New Roman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뼥?ⓒ"/>
      <family val="3"/>
      <charset val="129"/>
    </font>
    <font>
      <sz val="14"/>
      <name val="뼻뮝"/>
      <family val="3"/>
      <charset val="129"/>
    </font>
    <font>
      <sz val="1"/>
      <color indexed="0"/>
      <name val="Courier"/>
      <family val="3"/>
    </font>
    <font>
      <sz val="9"/>
      <name val="굴림"/>
      <family val="3"/>
      <charset val="129"/>
    </font>
    <font>
      <sz val="12"/>
      <name val="뼻뮝"/>
      <family val="3"/>
      <charset val="129"/>
    </font>
    <font>
      <sz val="12"/>
      <name val="ⓒoUAAA¨u"/>
      <family val="1"/>
      <charset val="129"/>
    </font>
    <font>
      <sz val="12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12"/>
      <name val="Arial"/>
      <family val="2"/>
    </font>
    <font>
      <sz val="8"/>
      <name val="Times New Roman"/>
      <family val="1"/>
    </font>
    <font>
      <b/>
      <sz val="12"/>
      <name val="Arial MT"/>
      <family val="2"/>
    </font>
    <font>
      <sz val="11"/>
      <name val="μ¸¿o"/>
      <family val="1"/>
      <charset val="129"/>
    </font>
    <font>
      <sz val="9"/>
      <name val="Times New Roman"/>
      <family val="1"/>
    </font>
    <font>
      <b/>
      <sz val="10"/>
      <name val="Helv"/>
      <family val="2"/>
    </font>
    <font>
      <sz val="12"/>
      <name val="Arial MT"/>
      <family val="2"/>
    </font>
    <font>
      <sz val="10"/>
      <name val="굴림"/>
      <family val="3"/>
      <charset val="129"/>
    </font>
    <font>
      <b/>
      <sz val="12"/>
      <name val="Helv"/>
      <family val="2"/>
    </font>
    <font>
      <b/>
      <sz val="18"/>
      <name val="Arial"/>
      <family val="2"/>
    </font>
    <font>
      <b/>
      <sz val="11"/>
      <name val="Helv"/>
      <family val="2"/>
    </font>
    <font>
      <b/>
      <sz val="12"/>
      <name val="돋움체"/>
      <family val="3"/>
      <charset val="129"/>
    </font>
    <font>
      <sz val="7"/>
      <name val="Small Fonts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i/>
      <outline/>
      <shadow/>
      <u/>
      <sz val="1"/>
      <color indexed="24"/>
      <name val="Courier"/>
      <family val="3"/>
    </font>
    <font>
      <b/>
      <sz val="12"/>
      <name val="바탕체"/>
      <family val="1"/>
      <charset val="129"/>
    </font>
    <font>
      <sz val="12"/>
      <name val="궁서체"/>
      <family val="1"/>
      <charset val="129"/>
    </font>
    <font>
      <u/>
      <sz val="10"/>
      <color indexed="36"/>
      <name val="굴림체"/>
      <family val="3"/>
      <charset val="129"/>
    </font>
    <font>
      <b/>
      <sz val="10"/>
      <name val="굴림"/>
      <family val="3"/>
      <charset val="129"/>
    </font>
    <font>
      <b/>
      <sz val="14"/>
      <name val="굴림"/>
      <family val="3"/>
      <charset val="129"/>
    </font>
    <font>
      <sz val="9"/>
      <name val="바탕체"/>
      <family val="1"/>
      <charset val="129"/>
    </font>
    <font>
      <sz val="9"/>
      <color indexed="8"/>
      <name val="Arial"/>
      <family val="2"/>
    </font>
    <font>
      <sz val="10"/>
      <name val="명조"/>
      <family val="3"/>
      <charset val="129"/>
    </font>
    <font>
      <b/>
      <sz val="12"/>
      <color indexed="8"/>
      <name val="돋움체"/>
      <family val="3"/>
      <charset val="129"/>
    </font>
    <font>
      <b/>
      <sz val="18"/>
      <name val="굴림체"/>
      <family val="3"/>
      <charset val="129"/>
    </font>
    <font>
      <sz val="11"/>
      <color indexed="20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color indexed="60"/>
      <name val="맑은 고딕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CCD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3FDF1"/>
        <bgColor indexed="64"/>
      </patternFill>
    </fill>
    <fill>
      <patternFill patternType="solid">
        <fgColor rgb="FFF7CDFB"/>
        <bgColor indexed="64"/>
      </patternFill>
    </fill>
    <fill>
      <patternFill patternType="solid">
        <fgColor rgb="FF7CC1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ck">
        <color theme="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700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0"/>
    <xf numFmtId="9" fontId="35" fillId="0" borderId="0" applyFont="0" applyFill="0" applyBorder="0" applyAlignment="0" applyProtection="0"/>
    <xf numFmtId="0" fontId="37" fillId="0" borderId="0"/>
    <xf numFmtId="0" fontId="37" fillId="0" borderId="0"/>
    <xf numFmtId="0" fontId="38" fillId="0" borderId="0"/>
    <xf numFmtId="0" fontId="38" fillId="0" borderId="0"/>
    <xf numFmtId="0" fontId="39" fillId="0" borderId="0" applyFont="0" applyFill="0" applyBorder="0" applyAlignment="0" applyProtection="0"/>
    <xf numFmtId="0" fontId="38" fillId="0" borderId="0"/>
    <xf numFmtId="0" fontId="3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1" fillId="0" borderId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2" fillId="0" borderId="0"/>
    <xf numFmtId="0" fontId="37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4" fillId="0" borderId="0" applyFont="0" applyFill="0" applyBorder="0" applyAlignment="0" applyProtection="0"/>
    <xf numFmtId="0" fontId="35" fillId="0" borderId="0">
      <protection locked="0"/>
    </xf>
    <xf numFmtId="0" fontId="45" fillId="0" borderId="0" applyFont="0" applyFill="0" applyBorder="0" applyAlignment="0" applyProtection="0"/>
    <xf numFmtId="177" fontId="46" fillId="0" borderId="0" applyFont="0" applyFill="0" applyBorder="0" applyAlignment="0" applyProtection="0"/>
    <xf numFmtId="0" fontId="35" fillId="0" borderId="0">
      <protection locked="0"/>
    </xf>
    <xf numFmtId="0" fontId="45" fillId="0" borderId="0" applyFont="0" applyFill="0" applyBorder="0" applyAlignment="0" applyProtection="0"/>
    <xf numFmtId="179" fontId="46" fillId="0" borderId="0" applyFont="0" applyFill="0" applyBorder="0" applyAlignment="0" applyProtection="0"/>
    <xf numFmtId="0" fontId="43" fillId="0" borderId="0">
      <protection locked="0"/>
    </xf>
    <xf numFmtId="0" fontId="47" fillId="0" borderId="0"/>
    <xf numFmtId="0" fontId="48" fillId="0" borderId="0" applyFont="0" applyFill="0" applyBorder="0" applyAlignment="0" applyProtection="0"/>
    <xf numFmtId="178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180" fontId="46" fillId="0" borderId="0" applyFont="0" applyFill="0" applyBorder="0" applyAlignment="0" applyProtection="0"/>
    <xf numFmtId="0" fontId="43" fillId="0" borderId="0">
      <protection locked="0"/>
    </xf>
    <xf numFmtId="58" fontId="35" fillId="0" borderId="0" applyFont="0" applyFill="0" applyBorder="0" applyAlignment="0" applyProtection="0"/>
    <xf numFmtId="0" fontId="49" fillId="0" borderId="0"/>
    <xf numFmtId="0" fontId="46" fillId="0" borderId="0"/>
    <xf numFmtId="0" fontId="45" fillId="0" borderId="0"/>
    <xf numFmtId="0" fontId="50" fillId="0" borderId="0"/>
    <xf numFmtId="0" fontId="51" fillId="0" borderId="0"/>
    <xf numFmtId="0" fontId="52" fillId="0" borderId="0"/>
    <xf numFmtId="181" fontId="53" fillId="0" borderId="0" applyFill="0" applyBorder="0" applyAlignment="0"/>
    <xf numFmtId="182" fontId="37" fillId="0" borderId="0">
      <protection locked="0"/>
    </xf>
    <xf numFmtId="38" fontId="38" fillId="0" borderId="0" applyFont="0" applyFill="0" applyBorder="0" applyAlignment="0" applyProtection="0"/>
    <xf numFmtId="183" fontId="54" fillId="0" borderId="0"/>
    <xf numFmtId="183" fontId="38" fillId="0" borderId="0" applyFont="0" applyFill="0" applyBorder="0" applyAlignment="0" applyProtection="0"/>
    <xf numFmtId="0" fontId="55" fillId="0" borderId="0" applyNumberFormat="0" applyAlignment="0">
      <alignment horizontal="left"/>
    </xf>
    <xf numFmtId="0" fontId="39" fillId="0" borderId="0" applyFont="0" applyFill="0" applyBorder="0" applyAlignment="0" applyProtection="0"/>
    <xf numFmtId="182" fontId="37" fillId="0" borderId="0">
      <protection locked="0"/>
    </xf>
    <xf numFmtId="184" fontId="38" fillId="0" borderId="0" applyFont="0" applyFill="0" applyBorder="0" applyAlignment="0" applyProtection="0"/>
    <xf numFmtId="185" fontId="53" fillId="0" borderId="0" applyFont="0" applyFill="0" applyBorder="0" applyAlignment="0" applyProtection="0"/>
    <xf numFmtId="186" fontId="56" fillId="0" borderId="0"/>
    <xf numFmtId="187" fontId="35" fillId="0" borderId="0">
      <protection locked="0"/>
    </xf>
    <xf numFmtId="188" fontId="54" fillId="0" borderId="0" applyFont="0" applyFill="0" applyBorder="0" applyAlignment="0" applyProtection="0"/>
    <xf numFmtId="189" fontId="54" fillId="0" borderId="0" applyFont="0" applyFill="0" applyBorder="0" applyAlignment="0" applyProtection="0"/>
    <xf numFmtId="190" fontId="54" fillId="0" borderId="0"/>
    <xf numFmtId="0" fontId="57" fillId="0" borderId="0" applyNumberFormat="0" applyAlignment="0">
      <alignment horizontal="left"/>
    </xf>
    <xf numFmtId="191" fontId="35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9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9" fillId="0" borderId="0">
      <protection locked="0"/>
    </xf>
    <xf numFmtId="187" fontId="35" fillId="0" borderId="0">
      <protection locked="0"/>
    </xf>
    <xf numFmtId="0" fontId="60" fillId="0" borderId="0" applyNumberFormat="0" applyFill="0" applyBorder="0" applyAlignment="0" applyProtection="0"/>
    <xf numFmtId="38" fontId="61" fillId="18" borderId="0" applyNumberFormat="0" applyBorder="0" applyAlignment="0" applyProtection="0"/>
    <xf numFmtId="0" fontId="62" fillId="0" borderId="31" applyNumberFormat="0" applyAlignment="0" applyProtection="0">
      <alignment horizontal="left" vertical="center"/>
    </xf>
    <xf numFmtId="0" fontId="62" fillId="0" borderId="30">
      <alignment horizontal="left" vertical="center"/>
    </xf>
    <xf numFmtId="187" fontId="35" fillId="0" borderId="0">
      <protection locked="0"/>
    </xf>
    <xf numFmtId="187" fontId="35" fillId="0" borderId="0">
      <protection locked="0"/>
    </xf>
    <xf numFmtId="0" fontId="63" fillId="0" borderId="0" applyNumberFormat="0" applyFill="0" applyBorder="0" applyAlignment="0" applyProtection="0"/>
    <xf numFmtId="10" fontId="61" fillId="19" borderId="2" applyNumberFormat="0" applyBorder="0" applyAlignment="0" applyProtection="0"/>
    <xf numFmtId="192" fontId="64" fillId="0" borderId="0">
      <alignment horizontal="left"/>
    </xf>
    <xf numFmtId="178" fontId="38" fillId="0" borderId="0" applyFont="0" applyFill="0" applyBorder="0" applyAlignment="0" applyProtection="0"/>
    <xf numFmtId="18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5" fillId="0" borderId="0"/>
    <xf numFmtId="0" fontId="38" fillId="0" borderId="0"/>
    <xf numFmtId="0" fontId="38" fillId="0" borderId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182" fontId="37" fillId="0" borderId="0">
      <protection locked="0"/>
    </xf>
    <xf numFmtId="10" fontId="38" fillId="0" borderId="0" applyFont="0" applyFill="0" applyBorder="0" applyAlignment="0" applyProtection="0"/>
    <xf numFmtId="0" fontId="37" fillId="0" borderId="0">
      <protection locked="0"/>
    </xf>
    <xf numFmtId="30" fontId="65" fillId="0" borderId="0" applyNumberFormat="0" applyFill="0" applyBorder="0" applyAlignment="0" applyProtection="0">
      <alignment horizontal="left"/>
    </xf>
    <xf numFmtId="0" fontId="38" fillId="0" borderId="0"/>
    <xf numFmtId="40" fontId="66" fillId="0" borderId="0" applyBorder="0">
      <alignment horizontal="right"/>
    </xf>
    <xf numFmtId="193" fontId="67" fillId="0" borderId="0">
      <alignment horizontal="center"/>
    </xf>
    <xf numFmtId="187" fontId="35" fillId="0" borderId="32">
      <protection locked="0"/>
    </xf>
    <xf numFmtId="194" fontId="54" fillId="0" borderId="0" applyFont="0" applyFill="0" applyBorder="0" applyAlignment="0" applyProtection="0"/>
    <xf numFmtId="195" fontId="54" fillId="0" borderId="0" applyFont="0" applyFill="0" applyBorder="0" applyAlignment="0" applyProtection="0"/>
    <xf numFmtId="2" fontId="68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Font="0" applyFill="0" applyBorder="0" applyAlignment="0" applyProtection="0"/>
    <xf numFmtId="3" fontId="47" fillId="0" borderId="33">
      <alignment horizontal="center"/>
    </xf>
    <xf numFmtId="0" fontId="68" fillId="0" borderId="0" applyFont="0" applyFill="0" applyBorder="0" applyAlignment="0" applyProtection="0"/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>
      <protection locked="0"/>
    </xf>
    <xf numFmtId="9" fontId="74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75" fillId="0" borderId="0"/>
    <xf numFmtId="178" fontId="35" fillId="0" borderId="0" applyFont="0" applyFill="0" applyBorder="0" applyAlignment="0" applyProtection="0">
      <alignment vertical="center"/>
    </xf>
    <xf numFmtId="178" fontId="35" fillId="0" borderId="0" applyFont="0" applyFill="0" applyBorder="0" applyAlignment="0" applyProtection="0">
      <alignment vertical="center"/>
    </xf>
    <xf numFmtId="0" fontId="35" fillId="0" borderId="0"/>
    <xf numFmtId="0" fontId="48" fillId="0" borderId="0" applyFont="0" applyFill="0" applyBorder="0" applyAlignment="0" applyProtection="0"/>
    <xf numFmtId="0" fontId="76" fillId="0" borderId="0"/>
    <xf numFmtId="0" fontId="76" fillId="0" borderId="0"/>
    <xf numFmtId="0" fontId="76" fillId="0" borderId="0"/>
    <xf numFmtId="0" fontId="76" fillId="0" borderId="0"/>
    <xf numFmtId="4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0" fontId="77" fillId="0" borderId="0"/>
    <xf numFmtId="49" fontId="36" fillId="0" borderId="30">
      <alignment horizontal="center" vertical="center"/>
    </xf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10" fontId="68" fillId="0" borderId="0" applyFont="0" applyFill="0" applyBorder="0" applyAlignment="0" applyProtection="0"/>
    <xf numFmtId="0" fontId="35" fillId="0" borderId="0"/>
    <xf numFmtId="0" fontId="78" fillId="0" borderId="0">
      <alignment vertical="center"/>
    </xf>
    <xf numFmtId="0" fontId="35" fillId="0" borderId="0">
      <alignment vertical="center"/>
    </xf>
    <xf numFmtId="0" fontId="44" fillId="0" borderId="0">
      <alignment vertical="center"/>
    </xf>
    <xf numFmtId="0" fontId="35" fillId="0" borderId="0"/>
    <xf numFmtId="0" fontId="68" fillId="0" borderId="34" applyNumberFormat="0" applyFont="0" applyFill="0" applyAlignment="0" applyProtection="0"/>
    <xf numFmtId="196" fontId="35" fillId="0" borderId="0" applyFont="0" applyFill="0" applyBorder="0" applyAlignment="0" applyProtection="0"/>
    <xf numFmtId="197" fontId="68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3" fontId="77" fillId="0" borderId="2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/>
    <xf numFmtId="0" fontId="3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8" fillId="0" borderId="0"/>
    <xf numFmtId="0" fontId="38" fillId="0" borderId="0"/>
    <xf numFmtId="0" fontId="37" fillId="0" borderId="0" applyFont="0" applyFill="0" applyBorder="0" applyAlignment="0" applyProtection="0"/>
    <xf numFmtId="0" fontId="4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8" fillId="0" borderId="0"/>
    <xf numFmtId="0" fontId="38" fillId="0" borderId="0"/>
    <xf numFmtId="0" fontId="37" fillId="0" borderId="0" applyFont="0" applyFill="0" applyBorder="0" applyAlignment="0" applyProtection="0"/>
    <xf numFmtId="0" fontId="38" fillId="0" borderId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/>
    <xf numFmtId="0" fontId="37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9" fillId="0" borderId="0" applyFont="0" applyFill="0" applyBorder="0" applyAlignment="0" applyProtection="0">
      <alignment vertical="center"/>
    </xf>
    <xf numFmtId="3" fontId="77" fillId="0" borderId="2"/>
    <xf numFmtId="3" fontId="77" fillId="0" borderId="2"/>
    <xf numFmtId="9" fontId="37" fillId="0" borderId="0">
      <protection locked="0"/>
    </xf>
    <xf numFmtId="0" fontId="38" fillId="0" borderId="0" applyFont="0" applyFill="0" applyBorder="0" applyAlignment="0" applyProtection="0"/>
    <xf numFmtId="0" fontId="80" fillId="0" borderId="0"/>
    <xf numFmtId="0" fontId="76" fillId="0" borderId="0" applyFont="0" applyFill="0" applyBorder="0" applyAlignment="0" applyProtection="0"/>
    <xf numFmtId="0" fontId="41" fillId="0" borderId="0" applyFont="0" applyFill="0" applyBorder="0" applyAlignment="0" applyProtection="0"/>
    <xf numFmtId="198" fontId="44" fillId="0" borderId="36">
      <alignment horizontal="center" vertical="center"/>
    </xf>
    <xf numFmtId="199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81" fillId="0" borderId="0">
      <alignment horizontal="center" wrapText="1"/>
      <protection locked="0"/>
    </xf>
    <xf numFmtId="0" fontId="45" fillId="0" borderId="0" applyFont="0" applyFill="0" applyBorder="0" applyAlignment="0" applyProtection="0"/>
    <xf numFmtId="201" fontId="35" fillId="0" borderId="0" applyFont="0" applyFill="0" applyBorder="0" applyAlignment="0" applyProtection="0"/>
    <xf numFmtId="0" fontId="35" fillId="0" borderId="0" applyFont="0" applyFill="0" applyBorder="0" applyAlignment="0" applyProtection="0">
      <alignment horizontal="right"/>
    </xf>
    <xf numFmtId="0" fontId="82" fillId="0" borderId="0"/>
    <xf numFmtId="0" fontId="51" fillId="0" borderId="0"/>
    <xf numFmtId="0" fontId="83" fillId="0" borderId="0"/>
    <xf numFmtId="0" fontId="46" fillId="0" borderId="0"/>
    <xf numFmtId="202" fontId="35" fillId="0" borderId="0" applyFill="0" applyBorder="0" applyAlignment="0"/>
    <xf numFmtId="199" fontId="84" fillId="0" borderId="0" applyFill="0" applyBorder="0" applyAlignment="0"/>
    <xf numFmtId="203" fontId="35" fillId="0" borderId="0" applyFill="0" applyBorder="0" applyAlignment="0"/>
    <xf numFmtId="204" fontId="35" fillId="0" borderId="0" applyFill="0" applyBorder="0" applyAlignment="0"/>
    <xf numFmtId="205" fontId="35" fillId="0" borderId="0" applyFill="0" applyBorder="0" applyAlignment="0"/>
    <xf numFmtId="206" fontId="35" fillId="0" borderId="0" applyFill="0" applyBorder="0" applyAlignment="0"/>
    <xf numFmtId="202" fontId="35" fillId="0" borderId="0" applyFill="0" applyBorder="0" applyAlignment="0"/>
    <xf numFmtId="0" fontId="85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205" fontId="35" fillId="0" borderId="0" applyFont="0" applyFill="0" applyBorder="0" applyAlignment="0" applyProtection="0"/>
    <xf numFmtId="3" fontId="38" fillId="0" borderId="0" applyFont="0" applyFill="0" applyBorder="0" applyAlignment="0" applyProtection="0"/>
    <xf numFmtId="207" fontId="87" fillId="0" borderId="0" applyFont="0" applyFill="0" applyBorder="0" applyAlignment="0" applyProtection="0"/>
    <xf numFmtId="0" fontId="35" fillId="0" borderId="0"/>
    <xf numFmtId="0" fontId="37" fillId="0" borderId="0"/>
    <xf numFmtId="0" fontId="88" fillId="0" borderId="0">
      <alignment horizontal="left"/>
    </xf>
    <xf numFmtId="0" fontId="8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5" fillId="0" borderId="37">
      <protection locked="0"/>
    </xf>
    <xf numFmtId="0" fontId="90" fillId="0" borderId="37"/>
    <xf numFmtId="0" fontId="91" fillId="18" borderId="0" applyNumberFormat="0" applyFont="0" applyFill="0" applyBorder="0" applyAlignment="0">
      <alignment vertical="center"/>
    </xf>
    <xf numFmtId="37" fontId="92" fillId="0" borderId="0"/>
    <xf numFmtId="0" fontId="37" fillId="0" borderId="0"/>
    <xf numFmtId="0" fontId="90" fillId="0" borderId="0"/>
    <xf numFmtId="49" fontId="93" fillId="0" borderId="0" applyFill="0" applyBorder="0" applyProtection="0">
      <alignment horizontal="centerContinuous" vertical="center"/>
    </xf>
    <xf numFmtId="0" fontId="94" fillId="0" borderId="0" applyFill="0" applyBorder="0" applyProtection="0">
      <alignment horizontal="centerContinuous" vertical="center"/>
    </xf>
    <xf numFmtId="0" fontId="53" fillId="20" borderId="0" applyFill="0" applyBorder="0" applyProtection="0">
      <alignment horizontal="center" vertical="center"/>
    </xf>
    <xf numFmtId="0" fontId="95" fillId="0" borderId="38">
      <alignment horizontal="left"/>
    </xf>
    <xf numFmtId="0" fontId="37" fillId="0" borderId="0" applyFont="0" applyFill="0" applyBorder="0" applyAlignment="0" applyProtection="0"/>
    <xf numFmtId="0" fontId="96" fillId="0" borderId="0">
      <protection locked="0"/>
    </xf>
    <xf numFmtId="0" fontId="97" fillId="0" borderId="0" applyNumberFormat="0" applyFill="0" applyBorder="0" applyAlignment="0" applyProtection="0"/>
    <xf numFmtId="0" fontId="98" fillId="0" borderId="35">
      <alignment horizontal="center" vertical="center"/>
    </xf>
    <xf numFmtId="0" fontId="35" fillId="0" borderId="0"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100" fillId="0" borderId="0"/>
    <xf numFmtId="0" fontId="101" fillId="0" borderId="0"/>
    <xf numFmtId="0" fontId="100" fillId="0" borderId="0"/>
    <xf numFmtId="0" fontId="101" fillId="0" borderId="0"/>
    <xf numFmtId="0" fontId="100" fillId="0" borderId="0"/>
    <xf numFmtId="0" fontId="101" fillId="0" borderId="0"/>
    <xf numFmtId="0" fontId="88" fillId="0" borderId="0"/>
    <xf numFmtId="0" fontId="100" fillId="0" borderId="0"/>
    <xf numFmtId="0" fontId="79" fillId="0" borderId="0" applyNumberFormat="0" applyFont="0" applyFill="0" applyBorder="0" applyProtection="0">
      <alignment horizontal="distributed" vertical="center"/>
    </xf>
    <xf numFmtId="9" fontId="44" fillId="20" borderId="0" applyFill="0" applyBorder="0" applyProtection="0">
      <alignment horizontal="right"/>
    </xf>
    <xf numFmtId="0" fontId="79" fillId="0" borderId="0" applyFont="0" applyFill="0" applyBorder="0" applyProtection="0">
      <alignment horizontal="center" vertical="center"/>
    </xf>
    <xf numFmtId="10" fontId="44" fillId="0" borderId="0" applyFill="0" applyBorder="0" applyProtection="0">
      <alignment horizontal="right"/>
    </xf>
    <xf numFmtId="0" fontId="102" fillId="0" borderId="0" applyNumberFormat="0" applyFont="0" applyFill="0" applyBorder="0" applyProtection="0">
      <alignment horizontal="centerContinuous" vertical="center"/>
    </xf>
    <xf numFmtId="0" fontId="102" fillId="0" borderId="0" applyNumberFormat="0" applyFont="0" applyFill="0" applyBorder="0" applyProtection="0">
      <alignment horizontal="centerContinuous" vertical="center"/>
    </xf>
    <xf numFmtId="0" fontId="79" fillId="0" borderId="0" applyNumberFormat="0" applyFont="0" applyFill="0" applyBorder="0" applyProtection="0">
      <alignment horizontal="centerContinuous" vertical="center"/>
    </xf>
    <xf numFmtId="208" fontId="102" fillId="0" borderId="0" applyNumberFormat="0" applyFont="0" applyFill="0" applyBorder="0" applyProtection="0">
      <alignment horizontal="centerContinuous" vertical="center"/>
    </xf>
    <xf numFmtId="1" fontId="102" fillId="0" borderId="0" applyFont="0" applyFill="0" applyBorder="0" applyProtection="0">
      <alignment horizontal="centerContinuous" vertical="center"/>
    </xf>
    <xf numFmtId="209" fontId="38" fillId="0" borderId="0">
      <alignment vertical="center"/>
    </xf>
    <xf numFmtId="0" fontId="102" fillId="0" borderId="0" applyFont="0" applyFill="0" applyBorder="0" applyProtection="0">
      <alignment horizontal="centerContinuous" vertical="center"/>
    </xf>
    <xf numFmtId="199" fontId="102" fillId="0" borderId="0" applyFont="0" applyFill="0" applyBorder="0" applyProtection="0">
      <alignment horizontal="centerContinuous" vertical="center"/>
    </xf>
    <xf numFmtId="178" fontId="87" fillId="0" borderId="0" applyFont="0" applyFill="0" applyBorder="0" applyAlignment="0" applyProtection="0"/>
    <xf numFmtId="43" fontId="103" fillId="0" borderId="0"/>
    <xf numFmtId="0" fontId="104" fillId="0" borderId="39"/>
    <xf numFmtId="0" fontId="102" fillId="0" borderId="0" applyNumberFormat="0" applyFont="0" applyFill="0" applyBorder="0" applyProtection="0">
      <alignment vertical="center"/>
    </xf>
    <xf numFmtId="4" fontId="58" fillId="0" borderId="0">
      <protection locked="0"/>
    </xf>
    <xf numFmtId="210" fontId="38" fillId="0" borderId="0">
      <protection locked="0"/>
    </xf>
    <xf numFmtId="1" fontId="77" fillId="20" borderId="0" applyNumberFormat="0" applyFont="0" applyFill="0" applyBorder="0" applyAlignment="0">
      <alignment vertical="center"/>
    </xf>
    <xf numFmtId="0" fontId="91" fillId="18" borderId="0" applyNumberFormat="0" applyFont="0" applyFill="0" applyBorder="0" applyAlignment="0">
      <alignment vertical="center"/>
    </xf>
    <xf numFmtId="0" fontId="37" fillId="0" borderId="0"/>
    <xf numFmtId="1" fontId="105" fillId="20" borderId="0" applyNumberFormat="0" applyFont="0" applyFill="0" applyBorder="0" applyAlignment="0">
      <alignment vertical="center"/>
    </xf>
    <xf numFmtId="0" fontId="44" fillId="20" borderId="0" applyFill="0" applyBorder="0" applyProtection="0">
      <alignment horizontal="right"/>
    </xf>
    <xf numFmtId="0" fontId="79" fillId="0" borderId="0" applyFont="0" applyFill="0" applyBorder="0" applyAlignment="0" applyProtection="0">
      <alignment vertical="center"/>
    </xf>
    <xf numFmtId="199" fontId="35" fillId="0" borderId="0" applyFont="0" applyFill="0" applyBorder="0" applyAlignment="0" applyProtection="0"/>
    <xf numFmtId="211" fontId="35" fillId="0" borderId="0" applyFont="0" applyFill="0" applyBorder="0" applyAlignment="0" applyProtection="0"/>
    <xf numFmtId="212" fontId="35" fillId="0" borderId="0" applyFont="0" applyFill="0" applyBorder="0" applyAlignment="0" applyProtection="0"/>
    <xf numFmtId="213" fontId="35" fillId="0" borderId="0" applyFont="0" applyFill="0" applyBorder="0" applyAlignment="0" applyProtection="0"/>
    <xf numFmtId="214" fontId="38" fillId="0" borderId="0">
      <protection locked="0"/>
    </xf>
    <xf numFmtId="0" fontId="38" fillId="0" borderId="0"/>
    <xf numFmtId="0" fontId="103" fillId="0" borderId="0"/>
    <xf numFmtId="0" fontId="35" fillId="0" borderId="0">
      <alignment vertical="center"/>
    </xf>
    <xf numFmtId="0" fontId="106" fillId="0" borderId="0" applyNumberFormat="0" applyFont="0" applyBorder="0" applyAlignment="0">
      <alignment horizontal="centerContinuous"/>
      <protection locked="0"/>
    </xf>
    <xf numFmtId="215" fontId="38" fillId="0" borderId="0">
      <protection locked="0"/>
    </xf>
    <xf numFmtId="216" fontId="38" fillId="0" borderId="0">
      <protection locked="0"/>
    </xf>
    <xf numFmtId="0" fontId="107" fillId="21" borderId="0" applyNumberFormat="0" applyBorder="0" applyAlignment="0" applyProtection="0">
      <alignment vertical="center"/>
    </xf>
    <xf numFmtId="0" fontId="12" fillId="0" borderId="0">
      <alignment vertical="center"/>
    </xf>
    <xf numFmtId="0" fontId="108" fillId="22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2" fillId="0" borderId="1" xfId="2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4" fontId="14" fillId="0" borderId="2" xfId="0" applyNumberFormat="1" applyFont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12" fillId="16" borderId="4" xfId="0" applyFont="1" applyFill="1" applyBorder="1" applyAlignment="1">
      <alignment horizontal="center" vertical="center"/>
    </xf>
    <xf numFmtId="0" fontId="12" fillId="16" borderId="7" xfId="0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 wrapText="1"/>
    </xf>
    <xf numFmtId="176" fontId="16" fillId="0" borderId="2" xfId="0" applyNumberFormat="1" applyFont="1" applyBorder="1" applyAlignment="1">
      <alignment horizontal="center" vertical="center" wrapText="1"/>
    </xf>
    <xf numFmtId="17" fontId="6" fillId="0" borderId="2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17" fontId="5" fillId="0" borderId="2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16" borderId="16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20" fillId="17" borderId="2" xfId="0" applyFont="1" applyFill="1" applyBorder="1" applyAlignment="1">
      <alignment horizontal="center" vertical="center" wrapText="1"/>
    </xf>
    <xf numFmtId="0" fontId="23" fillId="0" borderId="2" xfId="3" applyFill="1" applyBorder="1" applyAlignment="1">
      <alignment horizontal="center" vertical="center" wrapText="1"/>
    </xf>
    <xf numFmtId="0" fontId="23" fillId="0" borderId="2" xfId="3" applyBorder="1" applyAlignment="1">
      <alignment horizontal="center" vertical="center" wrapText="1"/>
    </xf>
    <xf numFmtId="0" fontId="24" fillId="0" borderId="2" xfId="3" applyFont="1" applyFill="1" applyBorder="1" applyAlignment="1">
      <alignment horizontal="center" vertical="center" wrapText="1"/>
    </xf>
    <xf numFmtId="0" fontId="25" fillId="0" borderId="2" xfId="3" applyFont="1" applyBorder="1" applyAlignment="1">
      <alignment horizontal="center" vertical="center" wrapText="1"/>
    </xf>
    <xf numFmtId="0" fontId="26" fillId="0" borderId="2" xfId="3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0" fontId="12" fillId="0" borderId="10" xfId="0" applyFont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29" fillId="0" borderId="2" xfId="3" applyFont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14" fontId="14" fillId="0" borderId="2" xfId="0" applyNumberFormat="1" applyFont="1" applyBorder="1" applyAlignment="1">
      <alignment horizontal="center" vertical="center"/>
    </xf>
    <xf numFmtId="14" fontId="28" fillId="0" borderId="2" xfId="0" applyNumberFormat="1" applyFont="1" applyBorder="1" applyAlignment="1">
      <alignment horizontal="center" vertical="center"/>
    </xf>
    <xf numFmtId="0" fontId="33" fillId="2" borderId="21" xfId="0" applyFont="1" applyFill="1" applyBorder="1" applyAlignment="1">
      <alignment horizontal="center" vertical="center"/>
    </xf>
    <xf numFmtId="14" fontId="34" fillId="0" borderId="21" xfId="0" applyNumberFormat="1" applyFont="1" applyBorder="1" applyAlignment="1">
      <alignment horizontal="center" vertical="center" wrapText="1"/>
    </xf>
    <xf numFmtId="0" fontId="29" fillId="0" borderId="2" xfId="3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14" fontId="12" fillId="16" borderId="4" xfId="0" applyNumberFormat="1" applyFont="1" applyFill="1" applyBorder="1" applyAlignment="1">
      <alignment horizontal="center" vertical="center"/>
    </xf>
    <xf numFmtId="14" fontId="12" fillId="16" borderId="0" xfId="0" applyNumberFormat="1" applyFont="1" applyFill="1" applyAlignment="1">
      <alignment horizontal="center" vertical="center"/>
    </xf>
    <xf numFmtId="14" fontId="12" fillId="0" borderId="11" xfId="0" applyNumberFormat="1" applyFont="1" applyBorder="1" applyAlignment="1">
      <alignment horizontal="center" vertical="center"/>
    </xf>
    <xf numFmtId="14" fontId="12" fillId="0" borderId="8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7" fontId="6" fillId="0" borderId="15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14" fontId="14" fillId="0" borderId="8" xfId="0" applyNumberFormat="1" applyFont="1" applyBorder="1" applyAlignment="1">
      <alignment horizontal="center" vertical="center" wrapText="1"/>
    </xf>
    <xf numFmtId="14" fontId="7" fillId="0" borderId="8" xfId="0" applyNumberFormat="1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/>
    </xf>
    <xf numFmtId="0" fontId="13" fillId="0" borderId="9" xfId="2" applyFont="1" applyBorder="1" applyAlignment="1">
      <alignment horizontal="center" vertical="center"/>
    </xf>
    <xf numFmtId="0" fontId="13" fillId="0" borderId="23" xfId="2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 wrapText="1"/>
    </xf>
    <xf numFmtId="14" fontId="7" fillId="0" borderId="15" xfId="0" applyNumberFormat="1" applyFont="1" applyBorder="1" applyAlignment="1">
      <alignment horizontal="center" vertical="center" wrapText="1"/>
    </xf>
    <xf numFmtId="0" fontId="2" fillId="0" borderId="18" xfId="2" applyBorder="1" applyAlignment="1">
      <alignment horizontal="center" vertical="center"/>
    </xf>
    <xf numFmtId="0" fontId="2" fillId="0" borderId="17" xfId="2" applyBorder="1" applyAlignment="1">
      <alignment horizontal="center" vertical="center"/>
    </xf>
    <xf numFmtId="14" fontId="2" fillId="0" borderId="1" xfId="2" applyNumberFormat="1" applyAlignment="1">
      <alignment horizontal="center" vertical="center"/>
    </xf>
    <xf numFmtId="0" fontId="13" fillId="0" borderId="20" xfId="2" applyFont="1" applyBorder="1" applyAlignment="1">
      <alignment horizontal="center" vertical="center"/>
    </xf>
    <xf numFmtId="0" fontId="2" fillId="0" borderId="29" xfId="2" applyBorder="1" applyAlignment="1">
      <alignment horizontal="center" vertical="center"/>
    </xf>
    <xf numFmtId="14" fontId="33" fillId="0" borderId="21" xfId="0" applyNumberFormat="1" applyFont="1" applyBorder="1" applyAlignment="1">
      <alignment horizontal="center" vertical="center"/>
    </xf>
    <xf numFmtId="0" fontId="13" fillId="0" borderId="18" xfId="2" applyFont="1" applyBorder="1" applyAlignment="1">
      <alignment horizontal="center" vertical="center"/>
    </xf>
    <xf numFmtId="0" fontId="13" fillId="0" borderId="19" xfId="2" applyFont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42" fontId="12" fillId="4" borderId="12" xfId="1" applyFont="1" applyFill="1" applyBorder="1" applyAlignment="1">
      <alignment horizontal="center" vertical="center" wrapText="1"/>
    </xf>
    <xf numFmtId="42" fontId="12" fillId="4" borderId="14" xfId="1" applyFont="1" applyFill="1" applyBorder="1" applyAlignment="1">
      <alignment horizontal="center" vertical="center"/>
    </xf>
    <xf numFmtId="42" fontId="12" fillId="4" borderId="3" xfId="1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/>
    </xf>
    <xf numFmtId="0" fontId="12" fillId="12" borderId="14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2" fillId="13" borderId="12" xfId="0" applyFont="1" applyFill="1" applyBorder="1" applyAlignment="1">
      <alignment horizontal="center" vertical="center"/>
    </xf>
    <xf numFmtId="0" fontId="12" fillId="13" borderId="14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/>
    </xf>
    <xf numFmtId="0" fontId="12" fillId="15" borderId="12" xfId="0" applyFont="1" applyFill="1" applyBorder="1" applyAlignment="1">
      <alignment horizontal="center" vertical="center"/>
    </xf>
    <xf numFmtId="0" fontId="12" fillId="15" borderId="14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4" fontId="22" fillId="0" borderId="23" xfId="0" applyNumberFormat="1" applyFont="1" applyBorder="1" applyAlignment="1">
      <alignment horizontal="center" vertical="center"/>
    </xf>
    <xf numFmtId="14" fontId="22" fillId="0" borderId="26" xfId="0" applyNumberFormat="1" applyFont="1" applyBorder="1" applyAlignment="1">
      <alignment horizontal="center" vertical="center"/>
    </xf>
    <xf numFmtId="14" fontId="22" fillId="0" borderId="24" xfId="0" applyNumberFormat="1" applyFont="1" applyBorder="1" applyAlignment="1">
      <alignment horizontal="center" vertical="center"/>
    </xf>
    <xf numFmtId="14" fontId="12" fillId="0" borderId="22" xfId="0" applyNumberFormat="1" applyFont="1" applyBorder="1" applyAlignment="1">
      <alignment horizontal="center" vertical="center"/>
    </xf>
    <xf numFmtId="0" fontId="29" fillId="0" borderId="2" xfId="3" applyFont="1" applyBorder="1" applyAlignment="1">
      <alignment horizontal="center" vertical="center" wrapText="1"/>
    </xf>
    <xf numFmtId="0" fontId="31" fillId="0" borderId="2" xfId="3" applyFont="1" applyBorder="1" applyAlignment="1">
      <alignment horizontal="center" vertical="center" wrapText="1"/>
    </xf>
    <xf numFmtId="0" fontId="29" fillId="0" borderId="2" xfId="3" applyFont="1" applyFill="1" applyBorder="1" applyAlignment="1">
      <alignment horizontal="center" vertical="center" wrapText="1"/>
    </xf>
    <xf numFmtId="0" fontId="32" fillId="0" borderId="2" xfId="3" applyFont="1" applyFill="1" applyBorder="1" applyAlignment="1">
      <alignment horizontal="center" vertical="center" wrapText="1"/>
    </xf>
    <xf numFmtId="0" fontId="23" fillId="0" borderId="2" xfId="3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29" fillId="0" borderId="15" xfId="3" applyFont="1" applyBorder="1" applyAlignment="1">
      <alignment horizontal="center" vertical="center" wrapText="1"/>
    </xf>
    <xf numFmtId="0" fontId="29" fillId="0" borderId="25" xfId="3" applyFont="1" applyBorder="1" applyAlignment="1">
      <alignment horizontal="center" vertical="center" wrapText="1"/>
    </xf>
    <xf numFmtId="0" fontId="30" fillId="0" borderId="2" xfId="3" applyFont="1" applyFill="1" applyBorder="1" applyAlignment="1">
      <alignment horizontal="center" vertical="center" wrapText="1"/>
    </xf>
    <xf numFmtId="0" fontId="25" fillId="0" borderId="12" xfId="3" applyFont="1" applyBorder="1" applyAlignment="1">
      <alignment horizontal="center" vertical="center" wrapText="1"/>
    </xf>
    <xf numFmtId="0" fontId="25" fillId="0" borderId="14" xfId="3" applyFont="1" applyBorder="1" applyAlignment="1">
      <alignment horizontal="center" vertical="center" wrapText="1"/>
    </xf>
    <xf numFmtId="0" fontId="25" fillId="0" borderId="3" xfId="3" applyFont="1" applyBorder="1" applyAlignment="1">
      <alignment horizontal="center" vertical="center" wrapText="1"/>
    </xf>
    <xf numFmtId="0" fontId="23" fillId="0" borderId="12" xfId="3" applyBorder="1" applyAlignment="1">
      <alignment horizontal="center" vertical="center" wrapText="1"/>
    </xf>
    <xf numFmtId="0" fontId="23" fillId="0" borderId="14" xfId="3" applyBorder="1" applyAlignment="1">
      <alignment horizontal="center" vertical="center" wrapText="1"/>
    </xf>
    <xf numFmtId="0" fontId="23" fillId="0" borderId="3" xfId="3" applyBorder="1" applyAlignment="1">
      <alignment horizontal="center" vertical="center" wrapText="1"/>
    </xf>
    <xf numFmtId="0" fontId="23" fillId="0" borderId="2" xfId="3" applyBorder="1" applyAlignment="1">
      <alignment horizontal="center" vertical="center" wrapText="1"/>
    </xf>
  </cellXfs>
  <cellStyles count="700">
    <cellStyle name="#,##0" xfId="183" xr:uid="{5A6A8BB5-B189-4954-A728-7FD2320309E6}"/>
    <cellStyle name="??&amp;5_x0007_?._x0007_9_x0008_??_x0007__x0001__x0001_" xfId="184" xr:uid="{B089E388-7439-4C0C-852E-251CC9839722}"/>
    <cellStyle name="??&amp;6_x0007_?/_x0007_9_x0008_??_x0007__x0001__x0001_" xfId="185" xr:uid="{94029AE2-1962-42A9-B332-9BE238DC102A}"/>
    <cellStyle name="??&amp;O?&amp;H?_x0008__x000f__x0007_?_x0007__x0001__x0001_" xfId="6" xr:uid="{16090D68-AD8D-4960-B167-7CBA2C5E4CBC}"/>
    <cellStyle name="??&amp;O?&amp;H?_x0008_??_x0007__x0001__x0001_" xfId="7" xr:uid="{7710B544-CE74-4D1C-98CA-FE60F78EB94E}"/>
    <cellStyle name="??&amp;멅?둃9_x0008_??_x0007__x0001__x0001_" xfId="186" xr:uid="{666EA4EF-099B-4C77-9C81-A42E5D6053D1}"/>
    <cellStyle name="?W?_laroux" xfId="8" xr:uid="{0F4C8C9A-1B2F-42F0-831A-E7F2EC940CFE}"/>
    <cellStyle name="_12사면보강공사(BCD지구)(3) " xfId="9" xr:uid="{78BA5E96-AFC4-4FC6-9A22-1E02089AB264}"/>
    <cellStyle name="_2001년 발주계획" xfId="187" xr:uid="{96F775FC-D910-4A3E-A91C-A4978A838E5B}"/>
    <cellStyle name="_2차준공내역서" xfId="188" xr:uid="{488BCAC0-FAF7-461A-B886-D50FA5DEFD95}"/>
    <cellStyle name="_6월5회" xfId="189" xr:uid="{352FFB0B-0911-4A54-8544-50786414A0C1}"/>
    <cellStyle name="_6월5회_설계변경내역서" xfId="190" xr:uid="{B0207D16-B225-4C89-AED1-C9436DC5B278}"/>
    <cellStyle name="_6월5회_설계변경내역서_내역서제경비제외123" xfId="191" xr:uid="{2B0286F5-C0B1-447A-9862-B70ABFE23569}"/>
    <cellStyle name="_6월5회_설계변경내역서_설계변경내역서(2006년)" xfId="192" xr:uid="{BBEAF59B-9CB3-4154-898F-ABA780940F8A}"/>
    <cellStyle name="_6월5회_설계변경내역서_설계변경내역서(물가변동)" xfId="193" xr:uid="{3D8456E5-6817-4711-9BD9-9877B1553AF4}"/>
    <cellStyle name="_6월5회_설계변경내역서_실정보고내역집계(2006)" xfId="194" xr:uid="{88A41F14-0342-4188-8B69-9F8AD33B0F90}"/>
    <cellStyle name="_6월5회_설계변경산출" xfId="195" xr:uid="{B60A6FAF-7295-49AE-9B17-DF04F84CE5C5}"/>
    <cellStyle name="_6월5회_설계변경산출_9공구대우통신관로" xfId="196" xr:uid="{A648E622-C2EF-4622-81B1-4BF345392121}"/>
    <cellStyle name="_6월5회_설계변경산출_9공구대우통신관로_설계변경내역서" xfId="197" xr:uid="{37E38B68-E170-4B69-9080-F363D9431B28}"/>
    <cellStyle name="_6월5회_설계변경산출_9공구대우통신관로_설계변경내역서_내역서제경비제외123" xfId="198" xr:uid="{9041FDD0-5AF1-40E6-84A0-9963CB58D8DE}"/>
    <cellStyle name="_6월5회_설계변경산출_9공구대우통신관로_설계변경내역서_설계변경내역서(2006년)" xfId="199" xr:uid="{EE5B8A03-F650-48E2-98AA-72D7FB4D2E18}"/>
    <cellStyle name="_6월5회_설계변경산출_9공구대우통신관로_설계변경내역서_설계변경내역서(물가변동)" xfId="200" xr:uid="{97C9AE96-1D53-42DE-BD91-95F01AF1105C}"/>
    <cellStyle name="_6월5회_설계변경산출_9공구대우통신관로_설계변경내역서_실정보고내역집계(2006)" xfId="201" xr:uid="{9221E01D-FFFF-49F7-87BA-6FAFAD31E2EF}"/>
    <cellStyle name="_6월5회_설계변경산출_설계변경내역서" xfId="202" xr:uid="{F2046283-B9A1-461E-9343-4915DFB41686}"/>
    <cellStyle name="_6월5회_설계변경산출_설계변경내역서_내역서제경비제외123" xfId="203" xr:uid="{775A72DE-4B8B-46AC-ACE8-9665E55ABFE3}"/>
    <cellStyle name="_6월5회_설계변경산출_설계변경내역서_설계변경내역서(2006년)" xfId="204" xr:uid="{B42B5BB8-A7DC-4F8D-9904-867C0875AB1B}"/>
    <cellStyle name="_6월5회_설계변경산출_설계변경내역서_설계변경내역서(물가변동)" xfId="205" xr:uid="{C59D32E3-A229-466E-862C-826372DE4325}"/>
    <cellStyle name="_6월5회_설계변경산출_설계변경내역서_실정보고내역집계(2006)" xfId="206" xr:uid="{A44CBBB5-6099-4127-86C5-BEEFC60F5224}"/>
    <cellStyle name="_6월5회_설계변경산출_통신관로(9공구)" xfId="207" xr:uid="{681687B5-3A7F-411B-BED8-00A26D4A8F07}"/>
    <cellStyle name="_6월5회_설계변경산출_통신관로(9공구)_설계변경내역서" xfId="208" xr:uid="{3D3943C9-538F-4C73-90E1-FDB92C33C421}"/>
    <cellStyle name="_6월5회_설계변경산출_통신관로(9공구)_설계변경내역서_내역서제경비제외123" xfId="209" xr:uid="{8E2FC1F3-9B1A-489A-9B1D-02A9573052F4}"/>
    <cellStyle name="_6월5회_설계변경산출_통신관로(9공구)_설계변경내역서_설계변경내역서(2006년)" xfId="210" xr:uid="{D4E15466-4447-4177-88A7-191BCB7E97D1}"/>
    <cellStyle name="_6월5회_설계변경산출_통신관로(9공구)_설계변경내역서_설계변경내역서(물가변동)" xfId="211" xr:uid="{013B14D9-4867-476E-8DEB-BCBC9B05AE33}"/>
    <cellStyle name="_6월5회_설계변경산출_통신관로(9공구)_설계변경내역서_실정보고내역집계(2006)" xfId="212" xr:uid="{33264404-365E-4FD8-A75E-7479F65F784D}"/>
    <cellStyle name="_Book4" xfId="10" xr:uid="{9A1B7AFC-DFF8-43F0-95A8-E0B17EE8A19E}"/>
    <cellStyle name="_esc용공정" xfId="213" xr:uid="{2BC2EB1E-2807-434B-BA18-443C4848D9E7}"/>
    <cellStyle name="_ESC적용실공정 1차준공분" xfId="214" xr:uid="{40537531-6A65-4F44-A7E1-DCE65BA3A154}"/>
    <cellStyle name="_evaluator-EMC" xfId="11" xr:uid="{9B95B226-D357-448F-81BD-628DC142E65D}"/>
    <cellStyle name="_H011_(가설울타리및방진망설치공사)_입찰유의사항및현장설명자료" xfId="12" xr:uid="{3C5A6202-2D33-40E6-9BCE-454F59DC7A65}"/>
    <cellStyle name="_port" xfId="215" xr:uid="{68E00788-9265-46E2-9784-3E1B792CFD0E}"/>
    <cellStyle name="_SK건설추정견적" xfId="216" xr:uid="{70B3EEBA-508C-4A30-85A0-D001763A3D89}"/>
    <cellStyle name="_교통안전시설공(합)" xfId="13" xr:uid="{79F4ACEF-D188-426F-9B9D-7CBE58A28438}"/>
    <cellStyle name="_기계설비" xfId="217" xr:uid="{0865E067-8D7D-4BFE-96A9-6C9388687525}"/>
    <cellStyle name="_기계설비_횡계영업소톨케이트" xfId="218" xr:uid="{72A9B316-28D0-4B9B-92A1-6990099E383F}"/>
    <cellStyle name="_노면표지단위" xfId="14" xr:uid="{C5382EF5-D101-4722-BE5E-DDFC01510C9C}"/>
    <cellStyle name="_단가협의안" xfId="219" xr:uid="{9F28B967-EC33-4C42-B0F8-9935AA2DC009}"/>
    <cellStyle name="_도곡1교 교대 수량" xfId="15" xr:uid="{04801ECF-7F41-4DF4-9C3E-708107CCF819}"/>
    <cellStyle name="_도곡1교 교대 수량_교통안전시설공(합)" xfId="16" xr:uid="{D98369B9-714B-47CA-BA56-CD2401618EE1}"/>
    <cellStyle name="_도곡1교 교대 수량_노면표지단위" xfId="17" xr:uid="{D9196A8B-69CA-4305-9739-C8580BBF3486}"/>
    <cellStyle name="_도곡1교 교대(시점) 수량" xfId="18" xr:uid="{F429410D-975C-4243-9DE5-7D2F1E697A60}"/>
    <cellStyle name="_도곡1교 교대(시점) 수량_교통안전시설공(합)" xfId="19" xr:uid="{0126D05B-7EE3-4FDD-9649-B5BE2E753753}"/>
    <cellStyle name="_도곡1교 교대(시점) 수량_노면표지단위" xfId="20" xr:uid="{ECC24756-A2B2-41EB-91C3-ABCCE0A0D152}"/>
    <cellStyle name="_도곡1교 하부공 수량" xfId="21" xr:uid="{329DC6E8-7335-4178-AC70-07A4CAD69703}"/>
    <cellStyle name="_도곡1교 하부공 수량_교통안전시설공(합)" xfId="22" xr:uid="{2B051218-6A4E-4C95-B1C0-2C43876C86AE}"/>
    <cellStyle name="_도곡1교 하부공 수량_노면표지단위" xfId="23" xr:uid="{B9A7D906-09E4-44FC-8CE9-836522006890}"/>
    <cellStyle name="_도곡2교 교대 수량" xfId="24" xr:uid="{55F2DDDD-652A-4782-A15D-0A7CEC2BE036}"/>
    <cellStyle name="_도곡2교 교대 수량_교통안전시설공(합)" xfId="25" xr:uid="{FF9067A6-6B92-408D-881A-5ED5476DD173}"/>
    <cellStyle name="_도곡2교 교대 수량_노면표지단위" xfId="26" xr:uid="{E289297E-FE98-4E37-9EDE-B09E7EDB16D5}"/>
    <cellStyle name="_도곡2교 교대(종점) 수량" xfId="27" xr:uid="{A6A01C53-A9FA-41A9-AEA1-8C0B8C96BDCC}"/>
    <cellStyle name="_도곡2교 교대(종점) 수량_교통안전시설공(합)" xfId="28" xr:uid="{E0911CDE-A7CA-4CA1-BB72-C7F34E5E4432}"/>
    <cellStyle name="_도곡2교 교대(종점) 수량_노면표지단위" xfId="29" xr:uid="{74A6D97F-95AB-481C-A9EB-1AEDFF8EC946}"/>
    <cellStyle name="_도곡3교 교대 수량" xfId="30" xr:uid="{7CBCE838-D516-4C11-B2E7-7AEDD7FC7428}"/>
    <cellStyle name="_도곡3교 교대 수량_교통안전시설공(합)" xfId="31" xr:uid="{3BF0B750-56FC-440A-B53D-1605429BD1C9}"/>
    <cellStyle name="_도곡3교 교대 수량_노면표지단위" xfId="32" xr:uid="{71570A1C-83B4-4109-A902-4E253BC59628}"/>
    <cellStyle name="_도곡4교 하부공 수량" xfId="33" xr:uid="{8ACC7B44-C901-40AD-BDF1-54A62FF34BFC}"/>
    <cellStyle name="_도곡4교 하부공 수량_교통안전시설공(합)" xfId="34" xr:uid="{9497A687-B97E-45FF-9DE6-581EC0CB8591}"/>
    <cellStyle name="_도곡4교 하부공 수량_노면표지단위" xfId="35" xr:uid="{00757869-F564-48EF-8094-4F0F3D80EB0F}"/>
    <cellStyle name="_도곡교 교대 수량" xfId="36" xr:uid="{10361D7A-8AAD-42FA-A202-829E0023B640}"/>
    <cellStyle name="_도곡교 교대 수량_교통안전시설공(합)" xfId="37" xr:uid="{80259B7B-35EB-40B9-AF96-21DDA3AE0352}"/>
    <cellStyle name="_도곡교 교대 수량_노면표지단위" xfId="38" xr:uid="{C0DCCF5C-28AD-4D85-8342-098DC6E06E0C}"/>
    <cellStyle name="_문경갑지(보고서)" xfId="220" xr:uid="{2EB5D58A-40CD-450A-91AF-526D1E856477}"/>
    <cellStyle name="_발주내역" xfId="221" xr:uid="{3E68F78C-B0F5-4D99-9BBD-20528B867205}"/>
    <cellStyle name="_발주내역_3월기성내역" xfId="222" xr:uid="{892AA42B-C123-4D18-A3D4-D4BF168F4DCB}"/>
    <cellStyle name="_발주내역_3월기성내역_설계변경내역서" xfId="223" xr:uid="{75F2E8E6-29C4-443F-B4DE-D5E87B842C88}"/>
    <cellStyle name="_발주내역_3월기성내역_설계변경내역서_내역서제경비제외123" xfId="224" xr:uid="{A6F1DC4B-EFAA-44FA-A85A-360C5AB0E163}"/>
    <cellStyle name="_발주내역_3월기성내역_설계변경내역서_설계변경내역서(2006년)" xfId="225" xr:uid="{38A1A68D-7C38-482A-BD49-263E3471A9E6}"/>
    <cellStyle name="_발주내역_3월기성내역_설계변경내역서_설계변경내역서(물가변동)" xfId="226" xr:uid="{E75FD86D-EEB4-4F6D-8619-1894C12BC494}"/>
    <cellStyle name="_발주내역_3월기성내역_설계변경내역서_실정보고내역집계(2006)" xfId="227" xr:uid="{A24932B0-B8EF-4722-83DF-538D1DAD0980}"/>
    <cellStyle name="_발주내역_3월기성내역_설계변경산출" xfId="228" xr:uid="{149EE92B-CCDA-4B81-BA90-4FDA1D8C0E57}"/>
    <cellStyle name="_발주내역_3월기성내역_설계변경산출_9공구대우통신관로" xfId="229" xr:uid="{67F3F20E-550A-4D5A-A6EF-A6C70E588E40}"/>
    <cellStyle name="_발주내역_3월기성내역_설계변경산출_9공구대우통신관로_설계변경내역서" xfId="230" xr:uid="{37F954D8-5185-4DDC-ADB8-D7FD2118AF0D}"/>
    <cellStyle name="_발주내역_3월기성내역_설계변경산출_9공구대우통신관로_설계변경내역서_내역서제경비제외123" xfId="231" xr:uid="{64F0540B-2C06-44A3-8BFB-4A2465D8D51F}"/>
    <cellStyle name="_발주내역_3월기성내역_설계변경산출_9공구대우통신관로_설계변경내역서_설계변경내역서(2006년)" xfId="232" xr:uid="{8D0040D8-EEDA-4623-813C-6440171AED8B}"/>
    <cellStyle name="_발주내역_3월기성내역_설계변경산출_9공구대우통신관로_설계변경내역서_설계변경내역서(물가변동)" xfId="233" xr:uid="{E1A18BD1-9075-464B-937B-46C667B5F11B}"/>
    <cellStyle name="_발주내역_3월기성내역_설계변경산출_9공구대우통신관로_설계변경내역서_실정보고내역집계(2006)" xfId="234" xr:uid="{D887E810-084B-4133-94F0-BAC02BFDF758}"/>
    <cellStyle name="_발주내역_3월기성내역_설계변경산출_설계변경내역서" xfId="235" xr:uid="{E407C28F-7AD1-4632-8D84-AA61C545A7CE}"/>
    <cellStyle name="_발주내역_3월기성내역_설계변경산출_설계변경내역서_내역서제경비제외123" xfId="236" xr:uid="{76845173-5B0B-45BE-9D5D-C7C930E047C2}"/>
    <cellStyle name="_발주내역_3월기성내역_설계변경산출_설계변경내역서_설계변경내역서(2006년)" xfId="237" xr:uid="{64C569ED-4F4F-4433-B8FD-C4F52CB70CC6}"/>
    <cellStyle name="_발주내역_3월기성내역_설계변경산출_설계변경내역서_설계변경내역서(물가변동)" xfId="238" xr:uid="{88A9D0D6-F7BB-475E-A706-301AF48E5DD2}"/>
    <cellStyle name="_발주내역_3월기성내역_설계변경산출_설계변경내역서_실정보고내역집계(2006)" xfId="239" xr:uid="{BB88A446-303E-421D-98F4-855CE530B9A8}"/>
    <cellStyle name="_발주내역_3월기성내역_설계변경산출_통신관로(9공구)" xfId="240" xr:uid="{D929E557-216D-48A3-8B9E-9EFC004075C0}"/>
    <cellStyle name="_발주내역_3월기성내역_설계변경산출_통신관로(9공구)_설계변경내역서" xfId="241" xr:uid="{8471313A-E50A-4BAE-979D-F71ADB9AD91E}"/>
    <cellStyle name="_발주내역_3월기성내역_설계변경산출_통신관로(9공구)_설계변경내역서_내역서제경비제외123" xfId="242" xr:uid="{C9B94134-970F-4AFE-A201-5EED34FB1049}"/>
    <cellStyle name="_발주내역_3월기성내역_설계변경산출_통신관로(9공구)_설계변경내역서_설계변경내역서(2006년)" xfId="243" xr:uid="{FB3BBDFD-D3DD-4225-9A47-B01B7FAA94EC}"/>
    <cellStyle name="_발주내역_3월기성내역_설계변경산출_통신관로(9공구)_설계변경내역서_설계변경내역서(물가변동)" xfId="244" xr:uid="{78FD5531-EC37-4AB2-8614-BDDF1AB13BCA}"/>
    <cellStyle name="_발주내역_3월기성내역_설계변경산출_통신관로(9공구)_설계변경내역서_실정보고내역집계(2006)" xfId="245" xr:uid="{2D3F75C3-94AA-4870-B18A-143081905FD7}"/>
    <cellStyle name="_발주내역_5월기성내역" xfId="246" xr:uid="{AE37C5F2-7CE7-46FD-A043-A62C4A5DCA6D}"/>
    <cellStyle name="_발주내역_5월기성내역_설계변경내역서" xfId="247" xr:uid="{8C6CB090-A250-40DF-88A0-D68A6A2D1875}"/>
    <cellStyle name="_발주내역_5월기성내역_설계변경내역서_내역서제경비제외123" xfId="248" xr:uid="{2CBCAB73-3B85-44BE-92E3-FCBA363AC9B5}"/>
    <cellStyle name="_발주내역_5월기성내역_설계변경내역서_설계변경내역서(2006년)" xfId="249" xr:uid="{55F9E9F5-50CE-406D-A20C-2D32702BBF49}"/>
    <cellStyle name="_발주내역_5월기성내역_설계변경내역서_설계변경내역서(물가변동)" xfId="250" xr:uid="{1EDC8764-C8E2-4E6E-9C9C-BDCFB1984292}"/>
    <cellStyle name="_발주내역_5월기성내역_설계변경내역서_실정보고내역집계(2006)" xfId="251" xr:uid="{2453B926-31DC-4987-9206-F7537815E4E6}"/>
    <cellStyle name="_발주내역_5월기성내역_설계변경산출" xfId="252" xr:uid="{BFDBBD72-082B-4158-85AE-965667E880C7}"/>
    <cellStyle name="_발주내역_5월기성내역_설계변경산출_9공구대우통신관로" xfId="253" xr:uid="{9019E524-614A-460A-8281-F50A6807C703}"/>
    <cellStyle name="_발주내역_5월기성내역_설계변경산출_9공구대우통신관로_설계변경내역서" xfId="254" xr:uid="{E230490E-706A-4C2D-8076-EE2B866563D8}"/>
    <cellStyle name="_발주내역_5월기성내역_설계변경산출_9공구대우통신관로_설계변경내역서_내역서제경비제외123" xfId="255" xr:uid="{3BEFC2BF-CB9E-47DB-9798-7D0FE56019BC}"/>
    <cellStyle name="_발주내역_5월기성내역_설계변경산출_9공구대우통신관로_설계변경내역서_설계변경내역서(2006년)" xfId="256" xr:uid="{E56ACED4-3FCD-46B8-9580-4EEC174E3B15}"/>
    <cellStyle name="_발주내역_5월기성내역_설계변경산출_9공구대우통신관로_설계변경내역서_설계변경내역서(물가변동)" xfId="257" xr:uid="{2A7F5792-091B-47A6-9837-06A89821B5D8}"/>
    <cellStyle name="_발주내역_5월기성내역_설계변경산출_9공구대우통신관로_설계변경내역서_실정보고내역집계(2006)" xfId="258" xr:uid="{0470DF80-E460-4545-8C8E-84E96D96CD90}"/>
    <cellStyle name="_발주내역_5월기성내역_설계변경산출_설계변경내역서" xfId="259" xr:uid="{0208C8CE-3DFE-42FF-AE63-C5456B8D068C}"/>
    <cellStyle name="_발주내역_5월기성내역_설계변경산출_설계변경내역서_내역서제경비제외123" xfId="260" xr:uid="{771CC664-B852-42A4-8C28-7B01D0D59510}"/>
    <cellStyle name="_발주내역_5월기성내역_설계변경산출_설계변경내역서_설계변경내역서(2006년)" xfId="261" xr:uid="{40F25612-4161-4559-B6DF-9F8E2AA49264}"/>
    <cellStyle name="_발주내역_5월기성내역_설계변경산출_설계변경내역서_설계변경내역서(물가변동)" xfId="262" xr:uid="{71C9D0BC-277D-4B59-8AAA-688880A55071}"/>
    <cellStyle name="_발주내역_5월기성내역_설계변경산출_설계변경내역서_실정보고내역집계(2006)" xfId="263" xr:uid="{80E31E93-C682-44EA-874E-30CD3B35AFB6}"/>
    <cellStyle name="_발주내역_5월기성내역_설계변경산출_통신관로(9공구)" xfId="264" xr:uid="{FF2BE499-3FF3-49CE-ACD6-D576FE6A70F3}"/>
    <cellStyle name="_발주내역_5월기성내역_설계변경산출_통신관로(9공구)_설계변경내역서" xfId="265" xr:uid="{2EC1450F-BA66-4F24-98D8-033CD3F3693C}"/>
    <cellStyle name="_발주내역_5월기성내역_설계변경산출_통신관로(9공구)_설계변경내역서_내역서제경비제외123" xfId="266" xr:uid="{1BEF714B-648D-422B-9EBA-E5D2991C3CF3}"/>
    <cellStyle name="_발주내역_5월기성내역_설계변경산출_통신관로(9공구)_설계변경내역서_설계변경내역서(2006년)" xfId="267" xr:uid="{C237F927-AC71-44BD-A5C6-580D69FA0027}"/>
    <cellStyle name="_발주내역_5월기성내역_설계변경산출_통신관로(9공구)_설계변경내역서_설계변경내역서(물가변동)" xfId="268" xr:uid="{09966FA2-6BFF-4154-B13F-7383AB4DCB44}"/>
    <cellStyle name="_발주내역_5월기성내역_설계변경산출_통신관로(9공구)_설계변경내역서_실정보고내역집계(2006)" xfId="269" xr:uid="{A143BEAC-CB01-4E38-A8FD-A02B77DCCD53}"/>
    <cellStyle name="_발주내역_설계변경내역서" xfId="270" xr:uid="{D7AF5E6D-C3D1-4E83-A9E9-8A7DF4016020}"/>
    <cellStyle name="_발주내역_설계변경내역서_내역서제경비제외123" xfId="271" xr:uid="{215ADA91-7173-41B9-A6F1-F0E276E6CE98}"/>
    <cellStyle name="_발주내역_설계변경내역서_설계변경내역서(2006년)" xfId="272" xr:uid="{3DB0F00D-0B43-4B7D-8A51-7C96A6BD3004}"/>
    <cellStyle name="_발주내역_설계변경내역서_설계변경내역서(물가변동)" xfId="273" xr:uid="{0B042F24-EFD9-4D96-85B0-77D4D022983D}"/>
    <cellStyle name="_발주내역_설계변경내역서_실정보고내역집계(2006)" xfId="274" xr:uid="{649CAA23-98D1-4857-AA9E-55E24B7B1D52}"/>
    <cellStyle name="_발주내역_설계변경산출" xfId="275" xr:uid="{BF241854-6C63-4F16-A6F1-3A40BA9F6F04}"/>
    <cellStyle name="_발주내역_설계변경산출_9공구대우통신관로" xfId="276" xr:uid="{9B4DF6E5-C79B-4B4E-9C20-6CEB0A956830}"/>
    <cellStyle name="_발주내역_설계변경산출_9공구대우통신관로_설계변경내역서" xfId="277" xr:uid="{BB087F33-AF1D-486D-BEEB-0F5F45F44A17}"/>
    <cellStyle name="_발주내역_설계변경산출_9공구대우통신관로_설계변경내역서_내역서제경비제외123" xfId="278" xr:uid="{50E8D5F6-395F-401B-9064-BBCA2919681A}"/>
    <cellStyle name="_발주내역_설계변경산출_9공구대우통신관로_설계변경내역서_설계변경내역서(2006년)" xfId="279" xr:uid="{089C15CE-2636-48A5-80C6-9CBAE4F2182A}"/>
    <cellStyle name="_발주내역_설계변경산출_9공구대우통신관로_설계변경내역서_설계변경내역서(물가변동)" xfId="280" xr:uid="{4EDAB954-15B5-4BF6-950E-A963E6ADC7F8}"/>
    <cellStyle name="_발주내역_설계변경산출_9공구대우통신관로_설계변경내역서_실정보고내역집계(2006)" xfId="281" xr:uid="{E19C8BA5-7CA1-4DEE-9767-F4C1D7C5E8A9}"/>
    <cellStyle name="_발주내역_설계변경산출_설계변경내역서" xfId="282" xr:uid="{2E753AF3-AC76-4F05-8172-4940EAA472BF}"/>
    <cellStyle name="_발주내역_설계변경산출_설계변경내역서_내역서제경비제외123" xfId="283" xr:uid="{B4A90B76-71E6-44AF-846D-82A68843F9EC}"/>
    <cellStyle name="_발주내역_설계변경산출_설계변경내역서_설계변경내역서(2006년)" xfId="284" xr:uid="{11380AB8-53FA-46A5-B46F-44D46CD330BE}"/>
    <cellStyle name="_발주내역_설계변경산출_설계변경내역서_설계변경내역서(물가변동)" xfId="285" xr:uid="{20AFED9E-8720-4D6A-903F-70BF45490920}"/>
    <cellStyle name="_발주내역_설계변경산출_설계변경내역서_실정보고내역집계(2006)" xfId="286" xr:uid="{7A163EAE-E728-4A94-BAAE-0A431040644B}"/>
    <cellStyle name="_발주내역_설계변경산출_통신관로(9공구)" xfId="287" xr:uid="{83F92762-088B-494E-A580-64900B7654E5}"/>
    <cellStyle name="_발주내역_설계변경산출_통신관로(9공구)_설계변경내역서" xfId="288" xr:uid="{C194DA70-57C1-4107-AD3E-5A5A4316B22B}"/>
    <cellStyle name="_발주내역_설계변경산출_통신관로(9공구)_설계변경내역서_내역서제경비제외123" xfId="289" xr:uid="{510BFCA8-0628-418D-AD16-EC65AA53881B}"/>
    <cellStyle name="_발주내역_설계변경산출_통신관로(9공구)_설계변경내역서_설계변경내역서(2006년)" xfId="290" xr:uid="{E7C3FD8A-AF7F-48B5-9BF2-500C88F87753}"/>
    <cellStyle name="_발주내역_설계변경산출_통신관로(9공구)_설계변경내역서_설계변경내역서(물가변동)" xfId="291" xr:uid="{9D4574FE-0CED-4B46-9154-F7BC73514469}"/>
    <cellStyle name="_발주내역_설계변경산출_통신관로(9공구)_설계변경내역서_실정보고내역집계(2006)" xfId="292" xr:uid="{B50F721C-08CB-4EC7-A464-C5E5802D421B}"/>
    <cellStyle name="_부대시설공-변경" xfId="39" xr:uid="{EDF41A08-ACC7-469A-908C-C992B5E4557E}"/>
    <cellStyle name="_사면보강공사(BCD지구) " xfId="40" xr:uid="{DA54CA79-D938-4F59-8A0A-09AB3AB23BA3}"/>
    <cellStyle name="_사토변경단가산출서(041021)" xfId="293" xr:uid="{BED56D9D-C403-4679-BC6D-C7C0E15FA51B}"/>
    <cellStyle name="_석포교" xfId="294" xr:uid="{761C6AA7-032C-416D-8065-9E54F6E2C627}"/>
    <cellStyle name="_실정보고(교면물빼기공)" xfId="295" xr:uid="{33C93EF3-0661-4CCB-94B4-A6C5D00E4133}"/>
    <cellStyle name="_실정보고(사면보강)" xfId="296" xr:uid="{BE466109-8338-4FEF-A709-23BCF6B9E86F}"/>
    <cellStyle name="_실정보고수정(교면물빼기공)" xfId="297" xr:uid="{D5B5349D-0152-46CB-A2EB-DD8CB5D51966}"/>
    <cellStyle name="_실정보고수정(초기안점점검)" xfId="298" xr:uid="{DFC9DFB6-2422-415A-A70D-FA5F74FA1943}"/>
    <cellStyle name="_실정보고수정(표지판)기초별도" xfId="299" xr:uid="{6097B5DA-897A-4565-A783-6E05B70615B0}"/>
    <cellStyle name="_원동마을배수계획(민원)실정보고" xfId="300" xr:uid="{25B83314-499A-4641-9911-0BB76CBB429E}"/>
    <cellStyle name="_인원계획표 " xfId="41" xr:uid="{1298B01E-9300-4FCE-9AD4-EA57E20F9599}"/>
    <cellStyle name="_인원계획표 _101025_설변예정보고(용정교하부상수도이설)" xfId="42" xr:uid="{3771E2AA-1D24-41CC-9B57-722D6FD476E7}"/>
    <cellStyle name="_인원계획표 _발주내역" xfId="301" xr:uid="{F751A8E8-B314-42A9-B5D0-D327DCE08C09}"/>
    <cellStyle name="_인원계획표 _발주내역_3월기성내역" xfId="302" xr:uid="{DF202690-132B-4A40-B310-412BB409C96D}"/>
    <cellStyle name="_인원계획표 _발주내역_3월기성내역_설계변경내역서" xfId="303" xr:uid="{A267A68D-17CE-4BD2-9EC2-CB9B37571000}"/>
    <cellStyle name="_인원계획표 _발주내역_3월기성내역_설계변경내역서_내역서제경비제외123" xfId="304" xr:uid="{35A4EA5D-059D-41EA-AB3B-097AD360C44D}"/>
    <cellStyle name="_인원계획표 _발주내역_3월기성내역_설계변경내역서_설계변경내역서(2006년)" xfId="305" xr:uid="{C5976019-692D-41FB-8CF5-6093F28FBC48}"/>
    <cellStyle name="_인원계획표 _발주내역_3월기성내역_설계변경내역서_설계변경내역서(물가변동)" xfId="306" xr:uid="{E615C9E1-2680-44E4-BCF7-F61F77AA23A7}"/>
    <cellStyle name="_인원계획표 _발주내역_3월기성내역_설계변경내역서_실정보고내역집계(2006)" xfId="307" xr:uid="{F074E07D-B88B-423A-94AA-B086AEB23E8D}"/>
    <cellStyle name="_인원계획표 _발주내역_3월기성내역_설계변경산출" xfId="308" xr:uid="{79E073E8-3879-4D16-BFEE-353E621E7643}"/>
    <cellStyle name="_인원계획표 _발주내역_3월기성내역_설계변경산출_9공구대우통신관로" xfId="309" xr:uid="{14A757AB-75F4-4A26-A903-3FC6EC7E245F}"/>
    <cellStyle name="_인원계획표 _발주내역_3월기성내역_설계변경산출_9공구대우통신관로_설계변경내역서" xfId="310" xr:uid="{7B95E7B9-7164-418C-9A35-D6F32D47A720}"/>
    <cellStyle name="_인원계획표 _발주내역_3월기성내역_설계변경산출_9공구대우통신관로_설계변경내역서_내역서제경비제외123" xfId="311" xr:uid="{C54CA3D9-4DD7-402B-B059-3C48574DEDDA}"/>
    <cellStyle name="_인원계획표 _발주내역_3월기성내역_설계변경산출_9공구대우통신관로_설계변경내역서_설계변경내역서(2006년)" xfId="312" xr:uid="{5B56C4D5-B957-402F-AEA0-5D8188518A52}"/>
    <cellStyle name="_인원계획표 _발주내역_3월기성내역_설계변경산출_9공구대우통신관로_설계변경내역서_설계변경내역서(물가변동)" xfId="313" xr:uid="{20D9F6A8-8098-4B0E-8E6C-73172F6F1A73}"/>
    <cellStyle name="_인원계획표 _발주내역_3월기성내역_설계변경산출_9공구대우통신관로_설계변경내역서_실정보고내역집계(2006)" xfId="314" xr:uid="{A4FA94FA-4012-4395-9643-37AC7746631E}"/>
    <cellStyle name="_인원계획표 _발주내역_3월기성내역_설계변경산출_설계변경내역서" xfId="315" xr:uid="{15516996-090A-4555-810A-7584822493CE}"/>
    <cellStyle name="_인원계획표 _발주내역_3월기성내역_설계변경산출_설계변경내역서_내역서제경비제외123" xfId="316" xr:uid="{2EB8C7AB-9904-4187-A51F-523F08848F71}"/>
    <cellStyle name="_인원계획표 _발주내역_3월기성내역_설계변경산출_설계변경내역서_설계변경내역서(2006년)" xfId="317" xr:uid="{8F544951-988C-49B4-B61E-8DB641B0D0A3}"/>
    <cellStyle name="_인원계획표 _발주내역_3월기성내역_설계변경산출_설계변경내역서_설계변경내역서(물가변동)" xfId="318" xr:uid="{0019394C-241B-4A82-8D2C-4ED85D6F60C6}"/>
    <cellStyle name="_인원계획표 _발주내역_3월기성내역_설계변경산출_설계변경내역서_실정보고내역집계(2006)" xfId="319" xr:uid="{58CCBCA0-524B-44EA-A027-11803C44ADF6}"/>
    <cellStyle name="_인원계획표 _발주내역_3월기성내역_설계변경산출_통신관로(9공구)" xfId="320" xr:uid="{82FFAE47-AAFC-4580-9D00-687ACA2999CC}"/>
    <cellStyle name="_인원계획표 _발주내역_3월기성내역_설계변경산출_통신관로(9공구)_설계변경내역서" xfId="321" xr:uid="{42C9BFD7-6ADD-4B8D-90E8-81AE88E79F80}"/>
    <cellStyle name="_인원계획표 _발주내역_3월기성내역_설계변경산출_통신관로(9공구)_설계변경내역서_내역서제경비제외123" xfId="322" xr:uid="{D85B8B5F-53C7-4CAD-9BC6-9ED2C1C549C7}"/>
    <cellStyle name="_인원계획표 _발주내역_3월기성내역_설계변경산출_통신관로(9공구)_설계변경내역서_설계변경내역서(2006년)" xfId="323" xr:uid="{A3E52073-A8AA-4901-82B7-506810B16F41}"/>
    <cellStyle name="_인원계획표 _발주내역_3월기성내역_설계변경산출_통신관로(9공구)_설계변경내역서_설계변경내역서(물가변동)" xfId="324" xr:uid="{C1E6EE46-29F3-4C42-A396-F8A059194D18}"/>
    <cellStyle name="_인원계획표 _발주내역_3월기성내역_설계변경산출_통신관로(9공구)_설계변경내역서_실정보고내역집계(2006)" xfId="325" xr:uid="{97F117EE-C69A-4811-9388-BF7D9B25054E}"/>
    <cellStyle name="_인원계획표 _발주내역_5월기성내역" xfId="326" xr:uid="{8A0C5285-3ECE-4C58-B6D9-F609B30F61ED}"/>
    <cellStyle name="_인원계획표 _발주내역_5월기성내역_설계변경내역서" xfId="327" xr:uid="{7EF3C47B-9671-48C2-ADF0-DF4B4BA2292B}"/>
    <cellStyle name="_인원계획표 _발주내역_5월기성내역_설계변경내역서_내역서제경비제외123" xfId="328" xr:uid="{37FCC911-6DDB-47E4-BC28-0A8A2C88B7C9}"/>
    <cellStyle name="_인원계획표 _발주내역_5월기성내역_설계변경내역서_설계변경내역서(2006년)" xfId="329" xr:uid="{2EB98913-BD33-479D-9B32-1CC150E30A94}"/>
    <cellStyle name="_인원계획표 _발주내역_5월기성내역_설계변경내역서_설계변경내역서(물가변동)" xfId="330" xr:uid="{FD471795-FB5D-4F86-A976-8D9374CB44D0}"/>
    <cellStyle name="_인원계획표 _발주내역_5월기성내역_설계변경내역서_실정보고내역집계(2006)" xfId="331" xr:uid="{2BA9DDFD-ED52-47FE-BFC8-B67F0D5414D1}"/>
    <cellStyle name="_인원계획표 _발주내역_5월기성내역_설계변경산출" xfId="332" xr:uid="{DBC93018-EAE9-4169-BBF8-1FFA72AAEA1E}"/>
    <cellStyle name="_인원계획표 _발주내역_5월기성내역_설계변경산출_9공구대우통신관로" xfId="333" xr:uid="{59CF6F6E-709B-4739-BCE5-35A0C8CA6943}"/>
    <cellStyle name="_인원계획표 _발주내역_5월기성내역_설계변경산출_9공구대우통신관로_설계변경내역서" xfId="334" xr:uid="{58EF8AE0-C2CD-4B23-97D0-5408E4245AAF}"/>
    <cellStyle name="_인원계획표 _발주내역_5월기성내역_설계변경산출_9공구대우통신관로_설계변경내역서_내역서제경비제외123" xfId="335" xr:uid="{37932336-197C-4F04-95B6-570272A0E413}"/>
    <cellStyle name="_인원계획표 _발주내역_5월기성내역_설계변경산출_9공구대우통신관로_설계변경내역서_설계변경내역서(2006년)" xfId="336" xr:uid="{88FC5205-EA66-44DF-847F-72E3450B45F6}"/>
    <cellStyle name="_인원계획표 _발주내역_5월기성내역_설계변경산출_9공구대우통신관로_설계변경내역서_설계변경내역서(물가변동)" xfId="337" xr:uid="{EBD4D733-8600-4F91-9F28-D8236AF2BFAB}"/>
    <cellStyle name="_인원계획표 _발주내역_5월기성내역_설계변경산출_9공구대우통신관로_설계변경내역서_실정보고내역집계(2006)" xfId="338" xr:uid="{BB8496C5-3136-47E5-9FED-E510E22EA3C5}"/>
    <cellStyle name="_인원계획표 _발주내역_5월기성내역_설계변경산출_설계변경내역서" xfId="339" xr:uid="{AA3F6A05-DEF1-4080-9FBB-87745C380F20}"/>
    <cellStyle name="_인원계획표 _발주내역_5월기성내역_설계변경산출_설계변경내역서_내역서제경비제외123" xfId="340" xr:uid="{875D83E8-CC57-4385-9952-7904F0C1EAB6}"/>
    <cellStyle name="_인원계획표 _발주내역_5월기성내역_설계변경산출_설계변경내역서_설계변경내역서(2006년)" xfId="341" xr:uid="{286E9EF6-2D1E-4F03-B014-B2B15985820F}"/>
    <cellStyle name="_인원계획표 _발주내역_5월기성내역_설계변경산출_설계변경내역서_설계변경내역서(물가변동)" xfId="342" xr:uid="{484EB763-55BA-4516-B4BF-D30CAF2B0FF0}"/>
    <cellStyle name="_인원계획표 _발주내역_5월기성내역_설계변경산출_설계변경내역서_실정보고내역집계(2006)" xfId="343" xr:uid="{F5BE53F0-64B1-42B2-AF2B-7FCE58C3CD68}"/>
    <cellStyle name="_인원계획표 _발주내역_5월기성내역_설계변경산출_통신관로(9공구)" xfId="344" xr:uid="{9F076FCF-796A-4646-8BF1-8EC99A168B1C}"/>
    <cellStyle name="_인원계획표 _발주내역_5월기성내역_설계변경산출_통신관로(9공구)_설계변경내역서" xfId="345" xr:uid="{7EDE7136-6B89-4895-9D41-DE6CF0900A04}"/>
    <cellStyle name="_인원계획표 _발주내역_5월기성내역_설계변경산출_통신관로(9공구)_설계변경내역서_내역서제경비제외123" xfId="346" xr:uid="{9642BBF2-A75E-4DC6-8DF6-8B3D496FF55F}"/>
    <cellStyle name="_인원계획표 _발주내역_5월기성내역_설계변경산출_통신관로(9공구)_설계변경내역서_설계변경내역서(2006년)" xfId="347" xr:uid="{5A98D10C-B6C6-49C5-99AD-D854B06E79E7}"/>
    <cellStyle name="_인원계획표 _발주내역_5월기성내역_설계변경산출_통신관로(9공구)_설계변경내역서_설계변경내역서(물가변동)" xfId="348" xr:uid="{FAAE2336-E2D2-40A4-AF9A-E5A646F20D5D}"/>
    <cellStyle name="_인원계획표 _발주내역_5월기성내역_설계변경산출_통신관로(9공구)_설계변경내역서_실정보고내역집계(2006)" xfId="349" xr:uid="{A8724882-07F2-43AB-B10E-D0627CEE7880}"/>
    <cellStyle name="_인원계획표 _발주내역_설계변경내역서" xfId="350" xr:uid="{3BA6F106-851E-4ACC-8950-8A588A7D3C3D}"/>
    <cellStyle name="_인원계획표 _발주내역_설계변경내역서_내역서제경비제외123" xfId="351" xr:uid="{8C402C19-8101-4B89-BDC1-7E4F86243E13}"/>
    <cellStyle name="_인원계획표 _발주내역_설계변경내역서_설계변경내역서(2006년)" xfId="352" xr:uid="{7E0836C9-94F6-4459-8B35-657866C5E78C}"/>
    <cellStyle name="_인원계획표 _발주내역_설계변경내역서_설계변경내역서(물가변동)" xfId="353" xr:uid="{A95CF364-5EA6-430F-9330-6ED2B1BBFB19}"/>
    <cellStyle name="_인원계획표 _발주내역_설계변경내역서_실정보고내역집계(2006)" xfId="354" xr:uid="{1777BA7B-98EE-48CC-9C4B-43DDEF85C53F}"/>
    <cellStyle name="_인원계획표 _발주내역_설계변경산출" xfId="355" xr:uid="{37FBE424-3580-4B02-AF75-37E22153D925}"/>
    <cellStyle name="_인원계획표 _발주내역_설계변경산출_9공구대우통신관로" xfId="356" xr:uid="{E66F7803-34A3-424A-BDF2-388F109D3B42}"/>
    <cellStyle name="_인원계획표 _발주내역_설계변경산출_9공구대우통신관로_설계변경내역서" xfId="357" xr:uid="{453E98F9-7440-43B8-9C29-65F88E57BF36}"/>
    <cellStyle name="_인원계획표 _발주내역_설계변경산출_9공구대우통신관로_설계변경내역서_내역서제경비제외123" xfId="358" xr:uid="{B4A4BD54-0A35-46B8-ACA0-7DDA08C66344}"/>
    <cellStyle name="_인원계획표 _발주내역_설계변경산출_9공구대우통신관로_설계변경내역서_설계변경내역서(2006년)" xfId="359" xr:uid="{A2EBDEFA-5604-4672-AB75-64E96C6A30FE}"/>
    <cellStyle name="_인원계획표 _발주내역_설계변경산출_9공구대우통신관로_설계변경내역서_설계변경내역서(물가변동)" xfId="360" xr:uid="{DB9D16A5-630A-4CC1-958F-822C42199485}"/>
    <cellStyle name="_인원계획표 _발주내역_설계변경산출_9공구대우통신관로_설계변경내역서_실정보고내역집계(2006)" xfId="361" xr:uid="{BD948406-643B-454E-8BAB-FE28720D9A8B}"/>
    <cellStyle name="_인원계획표 _발주내역_설계변경산출_설계변경내역서" xfId="362" xr:uid="{186FC12B-3807-4EAE-90F1-E446FCC8AE78}"/>
    <cellStyle name="_인원계획표 _발주내역_설계변경산출_설계변경내역서_내역서제경비제외123" xfId="363" xr:uid="{D285F47D-8531-4A07-921E-39D8507285CD}"/>
    <cellStyle name="_인원계획표 _발주내역_설계변경산출_설계변경내역서_설계변경내역서(2006년)" xfId="364" xr:uid="{76F7AC4D-80FF-49E4-9883-0665A7D2F581}"/>
    <cellStyle name="_인원계획표 _발주내역_설계변경산출_설계변경내역서_설계변경내역서(물가변동)" xfId="365" xr:uid="{BDC09352-FD59-4965-98F8-8774040793AF}"/>
    <cellStyle name="_인원계획표 _발주내역_설계변경산출_설계변경내역서_실정보고내역집계(2006)" xfId="366" xr:uid="{9D37A37A-E7C1-4950-8765-651D1CA62F42}"/>
    <cellStyle name="_인원계획표 _발주내역_설계변경산출_통신관로(9공구)" xfId="367" xr:uid="{A967A7AC-7817-4804-9FCD-E12A7425DF8F}"/>
    <cellStyle name="_인원계획표 _발주내역_설계변경산출_통신관로(9공구)_설계변경내역서" xfId="368" xr:uid="{0F12D81B-600B-4E0B-AB42-8D9F6E9060BE}"/>
    <cellStyle name="_인원계획표 _발주내역_설계변경산출_통신관로(9공구)_설계변경내역서_내역서제경비제외123" xfId="369" xr:uid="{12761CD6-6DEF-4A59-924F-4145BECFBB44}"/>
    <cellStyle name="_인원계획표 _발주내역_설계변경산출_통신관로(9공구)_설계변경내역서_설계변경내역서(2006년)" xfId="370" xr:uid="{69D5DC5E-730A-4732-AA94-33E99A8279C7}"/>
    <cellStyle name="_인원계획표 _발주내역_설계변경산출_통신관로(9공구)_설계변경내역서_설계변경내역서(물가변동)" xfId="371" xr:uid="{F05C1402-B8EE-4F90-9608-37F916FC5EA1}"/>
    <cellStyle name="_인원계획표 _발주내역_설계변경산출_통신관로(9공구)_설계변경내역서_실정보고내역집계(2006)" xfId="372" xr:uid="{BE74C44E-A9E5-458F-BF2D-F450B6310EEA}"/>
    <cellStyle name="_인원계획표 _설계변경내역서" xfId="373" xr:uid="{9B546B1B-1DAB-46A3-8B61-D42512F54173}"/>
    <cellStyle name="_인원계획표 _설계변경내역서_내역서제경비제외123" xfId="374" xr:uid="{7D811DF8-42DF-45DD-9306-5448365E9CF1}"/>
    <cellStyle name="_인원계획표 _설계변경내역서_설계변경내역서(2006년)" xfId="375" xr:uid="{DAB1D5EE-69EA-4762-8B05-A02DF8C840C0}"/>
    <cellStyle name="_인원계획표 _설계변경내역서_설계변경내역서(물가변동)" xfId="376" xr:uid="{EFDCE474-2B0E-44DB-ACD9-79BD3691516F}"/>
    <cellStyle name="_인원계획표 _설계변경내역서_실정보고내역집계(2006)" xfId="377" xr:uid="{AEC6BE40-8CFC-4E4B-B5A5-1C0874742B08}"/>
    <cellStyle name="_인원계획표 _설계변경산출" xfId="378" xr:uid="{4D1B491E-4867-4DE1-AE7B-35FDB7EA1CB1}"/>
    <cellStyle name="_인원계획표 _설계변경산출_9공구대우통신관로" xfId="379" xr:uid="{33351A55-0E23-45E4-B793-797C753863B1}"/>
    <cellStyle name="_인원계획표 _설계변경산출_9공구대우통신관로_설계변경내역서" xfId="380" xr:uid="{8BF5F08A-D3EF-4A0A-B58F-B77195A9F61A}"/>
    <cellStyle name="_인원계획표 _설계변경산출_9공구대우통신관로_설계변경내역서_내역서제경비제외123" xfId="381" xr:uid="{D54F3A2D-75B6-448A-B8AF-8C1E145F50F9}"/>
    <cellStyle name="_인원계획표 _설계변경산출_9공구대우통신관로_설계변경내역서_설계변경내역서(2006년)" xfId="382" xr:uid="{3CC82377-15F5-4F86-9F1A-0CBC66E3746F}"/>
    <cellStyle name="_인원계획표 _설계변경산출_9공구대우통신관로_설계변경내역서_설계변경내역서(물가변동)" xfId="383" xr:uid="{D3B19A6A-15FD-4CC1-B056-640A0F36D8A6}"/>
    <cellStyle name="_인원계획표 _설계변경산출_9공구대우통신관로_설계변경내역서_실정보고내역집계(2006)" xfId="384" xr:uid="{02C4699F-01EE-4445-9C96-EAF181CC269D}"/>
    <cellStyle name="_인원계획표 _설계변경산출_설계변경내역서" xfId="385" xr:uid="{33CA39CB-E2D0-4437-ADF9-BC98FEC98AE2}"/>
    <cellStyle name="_인원계획표 _설계변경산출_설계변경내역서_내역서제경비제외123" xfId="386" xr:uid="{A36C2368-AC90-4DCF-BABD-C91D9C6BCC1E}"/>
    <cellStyle name="_인원계획표 _설계변경산출_설계변경내역서_설계변경내역서(2006년)" xfId="387" xr:uid="{AC58D242-7768-4453-9AA6-3AFD26E87EF5}"/>
    <cellStyle name="_인원계획표 _설계변경산출_설계변경내역서_설계변경내역서(물가변동)" xfId="388" xr:uid="{BE60E737-9E4A-40D8-AAFB-90EB8E1A579F}"/>
    <cellStyle name="_인원계획표 _설계변경산출_설계변경내역서_실정보고내역집계(2006)" xfId="389" xr:uid="{84E90E2D-B515-4566-8994-DAA212334874}"/>
    <cellStyle name="_인원계획표 _설계변경산출_통신관로(9공구)" xfId="390" xr:uid="{86E3654A-2C5A-4EFC-9D3F-3285DE45BD31}"/>
    <cellStyle name="_인원계획표 _설계변경산출_통신관로(9공구)_설계변경내역서" xfId="391" xr:uid="{172E5D12-77BC-4D15-A359-9CE9E5141B76}"/>
    <cellStyle name="_인원계획표 _설계변경산출_통신관로(9공구)_설계변경내역서_내역서제경비제외123" xfId="392" xr:uid="{B5DB9062-1B67-4E08-93FB-41EA18E745CB}"/>
    <cellStyle name="_인원계획표 _설계변경산출_통신관로(9공구)_설계변경내역서_설계변경내역서(2006년)" xfId="393" xr:uid="{ADD0F9A7-52C7-4E54-A8E0-58DCDEFFCA5B}"/>
    <cellStyle name="_인원계획표 _설계변경산출_통신관로(9공구)_설계변경내역서_설계변경내역서(물가변동)" xfId="394" xr:uid="{CA39911F-3D3D-456E-BC01-EEF1C7A4CF9B}"/>
    <cellStyle name="_인원계획표 _설계변경산출_통신관로(9공구)_설계변경내역서_실정보고내역집계(2006)" xfId="395" xr:uid="{6846E3AE-835A-4643-98A0-47ECCF51AF7A}"/>
    <cellStyle name="_인원계획표 _적격 " xfId="43" xr:uid="{95A8FC82-5265-4704-8F23-57B680D37475}"/>
    <cellStyle name="_인원계획표 _적격 _101025_설변예정보고(용정교하부상수도이설)" xfId="44" xr:uid="{48572721-6155-4DCD-AA1D-74C3763D5964}"/>
    <cellStyle name="_입찰표지 " xfId="45" xr:uid="{CCA5A265-A36F-40E8-A1DB-0DE7679D073B}"/>
    <cellStyle name="_입찰표지 _101025_설변예정보고(용정교하부상수도이설)" xfId="46" xr:uid="{95BE21ED-4DE4-4AFE-8585-33D47513BEA4}"/>
    <cellStyle name="_입찰표지 _발주내역" xfId="396" xr:uid="{F9FE4ABA-DA82-4131-834D-CBCDE1879864}"/>
    <cellStyle name="_입찰표지 _발주내역_3월기성내역" xfId="397" xr:uid="{9C238E4E-004A-4EA6-9D96-D7AF81254E4D}"/>
    <cellStyle name="_입찰표지 _발주내역_3월기성내역_설계변경내역서" xfId="398" xr:uid="{AE8DCE6B-C300-485C-B960-4FD5A1544607}"/>
    <cellStyle name="_입찰표지 _발주내역_3월기성내역_설계변경내역서_내역서제경비제외123" xfId="399" xr:uid="{B8958AA1-3F72-46AA-A529-20ED1B38EFAB}"/>
    <cellStyle name="_입찰표지 _발주내역_3월기성내역_설계변경내역서_설계변경내역서(2006년)" xfId="400" xr:uid="{B21BA7C9-D872-4283-B40A-73E09B7DB8D2}"/>
    <cellStyle name="_입찰표지 _발주내역_3월기성내역_설계변경내역서_설계변경내역서(물가변동)" xfId="401" xr:uid="{B7751CCD-A99B-44F0-A882-10EE80AB6E1C}"/>
    <cellStyle name="_입찰표지 _발주내역_3월기성내역_설계변경내역서_실정보고내역집계(2006)" xfId="402" xr:uid="{A8AE2520-A5F1-45EA-92CD-3E7D5303551D}"/>
    <cellStyle name="_입찰표지 _발주내역_3월기성내역_설계변경산출" xfId="403" xr:uid="{CCF8C5F3-EB65-4744-B5AD-11FE99582448}"/>
    <cellStyle name="_입찰표지 _발주내역_3월기성내역_설계변경산출_9공구대우통신관로" xfId="404" xr:uid="{8EA2A447-3D5F-426E-A16E-6DF54067C334}"/>
    <cellStyle name="_입찰표지 _발주내역_3월기성내역_설계변경산출_9공구대우통신관로_설계변경내역서" xfId="405" xr:uid="{A9EE156E-9780-40AD-9A8C-AD96F87F83D7}"/>
    <cellStyle name="_입찰표지 _발주내역_3월기성내역_설계변경산출_9공구대우통신관로_설계변경내역서_내역서제경비제외123" xfId="406" xr:uid="{7480E76D-1DAB-4F91-92C1-226DA3075721}"/>
    <cellStyle name="_입찰표지 _발주내역_3월기성내역_설계변경산출_9공구대우통신관로_설계변경내역서_설계변경내역서(2006년)" xfId="407" xr:uid="{B84EFAFF-E7BC-4806-B959-47DF213C3744}"/>
    <cellStyle name="_입찰표지 _발주내역_3월기성내역_설계변경산출_9공구대우통신관로_설계변경내역서_설계변경내역서(물가변동)" xfId="408" xr:uid="{C52B4F17-824A-4213-95AD-F6C436D320D1}"/>
    <cellStyle name="_입찰표지 _발주내역_3월기성내역_설계변경산출_9공구대우통신관로_설계변경내역서_실정보고내역집계(2006)" xfId="409" xr:uid="{E68E0381-BD74-4815-AB1B-D963FD97EC45}"/>
    <cellStyle name="_입찰표지 _발주내역_3월기성내역_설계변경산출_설계변경내역서" xfId="410" xr:uid="{E8EC1568-F1FA-4128-80C7-B40F19AAA3DB}"/>
    <cellStyle name="_입찰표지 _발주내역_3월기성내역_설계변경산출_설계변경내역서_내역서제경비제외123" xfId="411" xr:uid="{D0926241-839F-4D57-8858-28A7EA95E8F0}"/>
    <cellStyle name="_입찰표지 _발주내역_3월기성내역_설계변경산출_설계변경내역서_설계변경내역서(2006년)" xfId="412" xr:uid="{039F91B2-57AB-4F42-8F09-DB4A66021E71}"/>
    <cellStyle name="_입찰표지 _발주내역_3월기성내역_설계변경산출_설계변경내역서_설계변경내역서(물가변동)" xfId="413" xr:uid="{41F4F37C-9793-4F57-BFD0-CBE4A5E5017B}"/>
    <cellStyle name="_입찰표지 _발주내역_3월기성내역_설계변경산출_설계변경내역서_실정보고내역집계(2006)" xfId="414" xr:uid="{534F0472-4DF9-4BB0-B3C2-AA22966AF8D8}"/>
    <cellStyle name="_입찰표지 _발주내역_3월기성내역_설계변경산출_통신관로(9공구)" xfId="415" xr:uid="{D61E85F8-9C44-41E9-8252-56B52ED47CC5}"/>
    <cellStyle name="_입찰표지 _발주내역_3월기성내역_설계변경산출_통신관로(9공구)_설계변경내역서" xfId="416" xr:uid="{7B8906A0-9CA6-42C6-9C41-35A9469C7E73}"/>
    <cellStyle name="_입찰표지 _발주내역_3월기성내역_설계변경산출_통신관로(9공구)_설계변경내역서_내역서제경비제외123" xfId="417" xr:uid="{1DC3E168-3EF8-4A9B-9BE8-0405412DD18E}"/>
    <cellStyle name="_입찰표지 _발주내역_3월기성내역_설계변경산출_통신관로(9공구)_설계변경내역서_설계변경내역서(2006년)" xfId="418" xr:uid="{0BFA6FC0-11E7-480F-8803-F6E93EDCF0BB}"/>
    <cellStyle name="_입찰표지 _발주내역_3월기성내역_설계변경산출_통신관로(9공구)_설계변경내역서_설계변경내역서(물가변동)" xfId="419" xr:uid="{9A158778-6A13-4970-9E2C-06D966A3D4BF}"/>
    <cellStyle name="_입찰표지 _발주내역_3월기성내역_설계변경산출_통신관로(9공구)_설계변경내역서_실정보고내역집계(2006)" xfId="420" xr:uid="{7E6FBE3A-6CA0-4117-AEBF-C34750B0B7E4}"/>
    <cellStyle name="_입찰표지 _발주내역_5월기성내역" xfId="421" xr:uid="{6B749355-C286-4416-9A86-4C679BC1D7F6}"/>
    <cellStyle name="_입찰표지 _발주내역_5월기성내역_설계변경내역서" xfId="422" xr:uid="{6AF02EDB-2A7B-4EA2-8EA2-C5C0EA0586AB}"/>
    <cellStyle name="_입찰표지 _발주내역_5월기성내역_설계변경내역서_내역서제경비제외123" xfId="423" xr:uid="{C52B8A3B-A92E-4F23-A226-50A01556FDBE}"/>
    <cellStyle name="_입찰표지 _발주내역_5월기성내역_설계변경내역서_설계변경내역서(2006년)" xfId="424" xr:uid="{19B0F716-E222-4E59-849E-C9D2D00BFF3B}"/>
    <cellStyle name="_입찰표지 _발주내역_5월기성내역_설계변경내역서_설계변경내역서(물가변동)" xfId="425" xr:uid="{4ED7964E-F09E-497A-A04D-52B9639EC61E}"/>
    <cellStyle name="_입찰표지 _발주내역_5월기성내역_설계변경내역서_실정보고내역집계(2006)" xfId="426" xr:uid="{54B7C07A-3578-48D1-B6C5-B636EB04FABB}"/>
    <cellStyle name="_입찰표지 _발주내역_5월기성내역_설계변경산출" xfId="427" xr:uid="{C2283EA5-FDAC-4358-BE1B-EF5257645395}"/>
    <cellStyle name="_입찰표지 _발주내역_5월기성내역_설계변경산출_9공구대우통신관로" xfId="428" xr:uid="{3DBE97BC-466B-4682-B564-4C995E2F3117}"/>
    <cellStyle name="_입찰표지 _발주내역_5월기성내역_설계변경산출_9공구대우통신관로_설계변경내역서" xfId="429" xr:uid="{BC948E44-7816-4704-8EE9-8C4FF7D1D51E}"/>
    <cellStyle name="_입찰표지 _발주내역_5월기성내역_설계변경산출_9공구대우통신관로_설계변경내역서_내역서제경비제외123" xfId="430" xr:uid="{8C3F9E9F-B493-4A12-AB34-18583F70014B}"/>
    <cellStyle name="_입찰표지 _발주내역_5월기성내역_설계변경산출_9공구대우통신관로_설계변경내역서_설계변경내역서(2006년)" xfId="431" xr:uid="{0F54279A-53B8-47D4-BEAF-90A4F28B6277}"/>
    <cellStyle name="_입찰표지 _발주내역_5월기성내역_설계변경산출_9공구대우통신관로_설계변경내역서_설계변경내역서(물가변동)" xfId="432" xr:uid="{AA8B12B8-FDC0-4FF7-ACB1-492CF05B654B}"/>
    <cellStyle name="_입찰표지 _발주내역_5월기성내역_설계변경산출_9공구대우통신관로_설계변경내역서_실정보고내역집계(2006)" xfId="433" xr:uid="{0E39C8FB-5E40-44E6-8D93-2F802541F336}"/>
    <cellStyle name="_입찰표지 _발주내역_5월기성내역_설계변경산출_설계변경내역서" xfId="434" xr:uid="{D9E15D01-9929-4897-87DD-31032206C44F}"/>
    <cellStyle name="_입찰표지 _발주내역_5월기성내역_설계변경산출_설계변경내역서_내역서제경비제외123" xfId="435" xr:uid="{C08BF277-32BA-4D89-ABE9-CD7E402E8831}"/>
    <cellStyle name="_입찰표지 _발주내역_5월기성내역_설계변경산출_설계변경내역서_설계변경내역서(2006년)" xfId="436" xr:uid="{75448CFD-C2E6-4315-944D-8D0742E24335}"/>
    <cellStyle name="_입찰표지 _발주내역_5월기성내역_설계변경산출_설계변경내역서_설계변경내역서(물가변동)" xfId="437" xr:uid="{309765C6-4BCF-4C29-8AC3-789D130FCF13}"/>
    <cellStyle name="_입찰표지 _발주내역_5월기성내역_설계변경산출_설계변경내역서_실정보고내역집계(2006)" xfId="438" xr:uid="{73750AF2-8DDA-4FBB-8C28-873AB6FAEBA8}"/>
    <cellStyle name="_입찰표지 _발주내역_5월기성내역_설계변경산출_통신관로(9공구)" xfId="439" xr:uid="{78C30560-2CE7-4A9C-A0E9-1D6ED608F3B2}"/>
    <cellStyle name="_입찰표지 _발주내역_5월기성내역_설계변경산출_통신관로(9공구)_설계변경내역서" xfId="440" xr:uid="{44BEA6C6-7610-4A4D-A2BD-6D042457151C}"/>
    <cellStyle name="_입찰표지 _발주내역_5월기성내역_설계변경산출_통신관로(9공구)_설계변경내역서_내역서제경비제외123" xfId="441" xr:uid="{1C3CB7CB-EE5C-4AC1-8017-EADA1060B8BE}"/>
    <cellStyle name="_입찰표지 _발주내역_5월기성내역_설계변경산출_통신관로(9공구)_설계변경내역서_설계변경내역서(2006년)" xfId="442" xr:uid="{1196328D-A26A-409A-BD02-5ECC331C7574}"/>
    <cellStyle name="_입찰표지 _발주내역_5월기성내역_설계변경산출_통신관로(9공구)_설계변경내역서_설계변경내역서(물가변동)" xfId="443" xr:uid="{7363BCDC-CD25-4555-A076-2F3FE94E1894}"/>
    <cellStyle name="_입찰표지 _발주내역_5월기성내역_설계변경산출_통신관로(9공구)_설계변경내역서_실정보고내역집계(2006)" xfId="444" xr:uid="{80C94B4C-B303-4A54-9918-FBF81A424B49}"/>
    <cellStyle name="_입찰표지 _발주내역_설계변경내역서" xfId="445" xr:uid="{0E6BB044-2AFB-4790-97DB-C6250D4E5266}"/>
    <cellStyle name="_입찰표지 _발주내역_설계변경내역서_내역서제경비제외123" xfId="446" xr:uid="{478822E1-C5BE-4444-BF0C-7152FA0C4E1E}"/>
    <cellStyle name="_입찰표지 _발주내역_설계변경내역서_설계변경내역서(2006년)" xfId="447" xr:uid="{11FB3397-AA4B-4E82-B91B-0CFE8BCAB637}"/>
    <cellStyle name="_입찰표지 _발주내역_설계변경내역서_설계변경내역서(물가변동)" xfId="448" xr:uid="{7A4F7391-A5A3-4772-9D39-9D2310085064}"/>
    <cellStyle name="_입찰표지 _발주내역_설계변경내역서_실정보고내역집계(2006)" xfId="449" xr:uid="{B134E281-9A9A-4312-B889-BBCAE42B5CF1}"/>
    <cellStyle name="_입찰표지 _발주내역_설계변경산출" xfId="450" xr:uid="{0BAE9292-DB70-4617-B845-9D12B0B61331}"/>
    <cellStyle name="_입찰표지 _발주내역_설계변경산출_9공구대우통신관로" xfId="451" xr:uid="{0A22483C-B48C-4B86-A39F-A8D259961087}"/>
    <cellStyle name="_입찰표지 _발주내역_설계변경산출_9공구대우통신관로_설계변경내역서" xfId="452" xr:uid="{42AC31D3-A81F-4207-A1DC-3C50877B5EC5}"/>
    <cellStyle name="_입찰표지 _발주내역_설계변경산출_9공구대우통신관로_설계변경내역서_내역서제경비제외123" xfId="453" xr:uid="{6AF23BDC-05BF-49B8-8F7A-14A597166436}"/>
    <cellStyle name="_입찰표지 _발주내역_설계변경산출_9공구대우통신관로_설계변경내역서_설계변경내역서(2006년)" xfId="454" xr:uid="{920F4EBE-0D6E-4696-9F94-28306E09966A}"/>
    <cellStyle name="_입찰표지 _발주내역_설계변경산출_9공구대우통신관로_설계변경내역서_설계변경내역서(물가변동)" xfId="455" xr:uid="{9C6A12EB-6DFD-4108-A536-06048C2AF1B8}"/>
    <cellStyle name="_입찰표지 _발주내역_설계변경산출_9공구대우통신관로_설계변경내역서_실정보고내역집계(2006)" xfId="456" xr:uid="{4E5A5C6D-EBD2-4DAF-9ADF-B2367DF9ACE2}"/>
    <cellStyle name="_입찰표지 _발주내역_설계변경산출_설계변경내역서" xfId="457" xr:uid="{9F9141FC-CB78-4B8D-B438-665774830192}"/>
    <cellStyle name="_입찰표지 _발주내역_설계변경산출_설계변경내역서_내역서제경비제외123" xfId="458" xr:uid="{6D5FD824-F2FF-4269-9014-BB8D7EC128B7}"/>
    <cellStyle name="_입찰표지 _발주내역_설계변경산출_설계변경내역서_설계변경내역서(2006년)" xfId="459" xr:uid="{62046BB5-602D-4CE0-ADB2-F29023A4ADDD}"/>
    <cellStyle name="_입찰표지 _발주내역_설계변경산출_설계변경내역서_설계변경내역서(물가변동)" xfId="460" xr:uid="{FD4DB4D1-D2E1-4924-9101-06C21C0FA552}"/>
    <cellStyle name="_입찰표지 _발주내역_설계변경산출_설계변경내역서_실정보고내역집계(2006)" xfId="461" xr:uid="{2CCBA5EB-D7E1-4ECD-9431-AFC69F70E224}"/>
    <cellStyle name="_입찰표지 _발주내역_설계변경산출_통신관로(9공구)" xfId="462" xr:uid="{05BE2C84-576D-465D-A592-A7711988370E}"/>
    <cellStyle name="_입찰표지 _발주내역_설계변경산출_통신관로(9공구)_설계변경내역서" xfId="463" xr:uid="{D8852932-2618-4587-A3AA-B23F2FF9BF32}"/>
    <cellStyle name="_입찰표지 _발주내역_설계변경산출_통신관로(9공구)_설계변경내역서_내역서제경비제외123" xfId="464" xr:uid="{A95AE543-CC32-4741-96D3-150BC39977FF}"/>
    <cellStyle name="_입찰표지 _발주내역_설계변경산출_통신관로(9공구)_설계변경내역서_설계변경내역서(2006년)" xfId="465" xr:uid="{DCE44C95-5E84-4851-AEA4-889D9CDB9CB2}"/>
    <cellStyle name="_입찰표지 _발주내역_설계변경산출_통신관로(9공구)_설계변경내역서_설계변경내역서(물가변동)" xfId="466" xr:uid="{F1BD1701-9F54-4663-BD69-9D66A33EDB3E}"/>
    <cellStyle name="_입찰표지 _발주내역_설계변경산출_통신관로(9공구)_설계변경내역서_실정보고내역집계(2006)" xfId="467" xr:uid="{94E4BBC9-BABF-41D4-BCFD-9111B1B1623E}"/>
    <cellStyle name="_입찰표지 _설계변경내역서" xfId="468" xr:uid="{A859B3F7-2458-4B1C-AE8B-97A32DD0603F}"/>
    <cellStyle name="_입찰표지 _설계변경내역서_내역서제경비제외123" xfId="469" xr:uid="{EB1EAEDC-D3FE-42CA-9FA1-4C423A58170D}"/>
    <cellStyle name="_입찰표지 _설계변경내역서_설계변경내역서(2006년)" xfId="470" xr:uid="{1882C4C1-BA13-46AB-B9FC-475C9C0E9480}"/>
    <cellStyle name="_입찰표지 _설계변경내역서_설계변경내역서(물가변동)" xfId="471" xr:uid="{F564DE0B-18B3-48D8-B0D7-0C7B2277E2D4}"/>
    <cellStyle name="_입찰표지 _설계변경내역서_실정보고내역집계(2006)" xfId="472" xr:uid="{4CA5225F-C4E1-40F7-80A2-59E83D3BAF58}"/>
    <cellStyle name="_입찰표지 _설계변경산출" xfId="473" xr:uid="{CF87F9B5-A8F6-4DCC-83B1-806994C8911F}"/>
    <cellStyle name="_입찰표지 _설계변경산출_9공구대우통신관로" xfId="474" xr:uid="{8DE5FA81-AC8D-4880-A2DA-749EC988874A}"/>
    <cellStyle name="_입찰표지 _설계변경산출_9공구대우통신관로_설계변경내역서" xfId="475" xr:uid="{C3D49F47-A581-4634-B6B4-A5FF11B46FE9}"/>
    <cellStyle name="_입찰표지 _설계변경산출_9공구대우통신관로_설계변경내역서_내역서제경비제외123" xfId="476" xr:uid="{24A0B645-D812-495C-9DA7-427B92D614FE}"/>
    <cellStyle name="_입찰표지 _설계변경산출_9공구대우통신관로_설계변경내역서_설계변경내역서(2006년)" xfId="477" xr:uid="{3CBC329F-D385-4ACC-A625-0BCC58EA92A9}"/>
    <cellStyle name="_입찰표지 _설계변경산출_9공구대우통신관로_설계변경내역서_설계변경내역서(물가변동)" xfId="478" xr:uid="{523EBE7E-6FD3-431C-ADD6-9E7B1B95B71E}"/>
    <cellStyle name="_입찰표지 _설계변경산출_9공구대우통신관로_설계변경내역서_실정보고내역집계(2006)" xfId="479" xr:uid="{0BB22442-2A13-4F89-9C38-F144385547C7}"/>
    <cellStyle name="_입찰표지 _설계변경산출_설계변경내역서" xfId="480" xr:uid="{BBE914F7-9166-472B-9E18-09808B4E4D38}"/>
    <cellStyle name="_입찰표지 _설계변경산출_설계변경내역서_내역서제경비제외123" xfId="481" xr:uid="{99C02D93-4DB9-49A0-9CC8-6D132A41EFD0}"/>
    <cellStyle name="_입찰표지 _설계변경산출_설계변경내역서_설계변경내역서(2006년)" xfId="482" xr:uid="{70F6703A-93E5-41F0-A4C7-FF16F7D0DDFE}"/>
    <cellStyle name="_입찰표지 _설계변경산출_설계변경내역서_설계변경내역서(물가변동)" xfId="483" xr:uid="{ACB1425A-630A-4B78-9B54-70C40CB3082A}"/>
    <cellStyle name="_입찰표지 _설계변경산출_설계변경내역서_실정보고내역집계(2006)" xfId="484" xr:uid="{50F601C7-8E87-4DE8-AC67-7C0F57B452D2}"/>
    <cellStyle name="_입찰표지 _설계변경산출_통신관로(9공구)" xfId="485" xr:uid="{58B64D95-9C6E-4EBD-8A20-FF556B4082BE}"/>
    <cellStyle name="_입찰표지 _설계변경산출_통신관로(9공구)_설계변경내역서" xfId="486" xr:uid="{ECFEA6B4-89C3-4AE3-A542-138D466F4868}"/>
    <cellStyle name="_입찰표지 _설계변경산출_통신관로(9공구)_설계변경내역서_내역서제경비제외123" xfId="487" xr:uid="{F3C950ED-83FB-4084-A321-95B400900480}"/>
    <cellStyle name="_입찰표지 _설계변경산출_통신관로(9공구)_설계변경내역서_설계변경내역서(2006년)" xfId="488" xr:uid="{4AED4C19-6E64-4B2C-8717-2D78AB07A59C}"/>
    <cellStyle name="_입찰표지 _설계변경산출_통신관로(9공구)_설계변경내역서_설계변경내역서(물가변동)" xfId="489" xr:uid="{E9664D77-CBFD-407C-9F3C-6148CA889E58}"/>
    <cellStyle name="_입찰표지 _설계변경산출_통신관로(9공구)_설계변경내역서_실정보고내역집계(2006)" xfId="490" xr:uid="{19A4D69D-1FF2-49DA-B6C6-B32A311BC8E4}"/>
    <cellStyle name="_적격 " xfId="47" xr:uid="{FAF2653E-62AA-4FDA-B4D6-854A7894E1E1}"/>
    <cellStyle name="_적격 _101025_설변예정보고(용정교하부상수도이설)" xfId="48" xr:uid="{E9434B3C-730F-4DC2-8C29-F58959D7356A}"/>
    <cellStyle name="_적격 _집행갑지 " xfId="49" xr:uid="{0FB67DB2-85A2-40B0-82B9-8133BE6FCEBB}"/>
    <cellStyle name="_적격 _집행갑지 _101025_설변예정보고(용정교하부상수도이설)" xfId="50" xr:uid="{DBB4D74A-3F7F-458E-B050-706B1964006D}"/>
    <cellStyle name="_적격(화산) " xfId="51" xr:uid="{7F4EF2A0-55D9-47A5-95C1-402582DE11BD}"/>
    <cellStyle name="_적격(화산) _101025_설변예정보고(용정교하부상수도이설)" xfId="52" xr:uid="{C67B8C6B-3151-4D8C-8EC1-733179041BFA}"/>
    <cellStyle name="_적격(화산) _발주내역" xfId="491" xr:uid="{CF1E94A4-61BB-40CA-86B2-8A5C56F7DB1F}"/>
    <cellStyle name="_적격(화산) _발주내역_3월기성내역" xfId="492" xr:uid="{7146800A-BBB4-4D69-886D-2BEA0EDD07C0}"/>
    <cellStyle name="_적격(화산) _발주내역_3월기성내역_설계변경내역서" xfId="493" xr:uid="{52D64F71-A476-4B8E-B29A-EB1A9469F7F2}"/>
    <cellStyle name="_적격(화산) _발주내역_3월기성내역_설계변경내역서_내역서제경비제외123" xfId="494" xr:uid="{93CEADB4-EA92-4A42-8B92-F599DB0FE884}"/>
    <cellStyle name="_적격(화산) _발주내역_3월기성내역_설계변경내역서_설계변경내역서(2006년)" xfId="495" xr:uid="{04F803FA-F5FA-4C65-B621-450D9BAF055F}"/>
    <cellStyle name="_적격(화산) _발주내역_3월기성내역_설계변경내역서_설계변경내역서(물가변동)" xfId="496" xr:uid="{B49CE591-3296-4293-997E-302E73AE3555}"/>
    <cellStyle name="_적격(화산) _발주내역_3월기성내역_설계변경내역서_실정보고내역집계(2006)" xfId="497" xr:uid="{F90C699A-4E35-49C7-A2DB-68CCCB401E5F}"/>
    <cellStyle name="_적격(화산) _발주내역_3월기성내역_설계변경산출" xfId="498" xr:uid="{D1F25885-5B0E-4105-BFF6-1A248991417F}"/>
    <cellStyle name="_적격(화산) _발주내역_3월기성내역_설계변경산출_9공구대우통신관로" xfId="499" xr:uid="{9CEFF7EB-10A0-4B92-9CEA-F476A22F0E1C}"/>
    <cellStyle name="_적격(화산) _발주내역_3월기성내역_설계변경산출_9공구대우통신관로_설계변경내역서" xfId="500" xr:uid="{918C4676-3126-4ACB-B54C-80388BDEBF13}"/>
    <cellStyle name="_적격(화산) _발주내역_3월기성내역_설계변경산출_9공구대우통신관로_설계변경내역서_내역서제경비제외123" xfId="501" xr:uid="{B6E45424-A780-4EB6-801A-3F8BB84AB3E8}"/>
    <cellStyle name="_적격(화산) _발주내역_3월기성내역_설계변경산출_9공구대우통신관로_설계변경내역서_설계변경내역서(2006년)" xfId="502" xr:uid="{3AB7BD21-8612-449E-A2B4-586941A1D5D0}"/>
    <cellStyle name="_적격(화산) _발주내역_3월기성내역_설계변경산출_9공구대우통신관로_설계변경내역서_설계변경내역서(물가변동)" xfId="503" xr:uid="{01C73399-AEDB-4C4E-8C54-49E507588F96}"/>
    <cellStyle name="_적격(화산) _발주내역_3월기성내역_설계변경산출_9공구대우통신관로_설계변경내역서_실정보고내역집계(2006)" xfId="504" xr:uid="{C1AAFEAB-5749-4A40-85FC-98D2B6BBB4DD}"/>
    <cellStyle name="_적격(화산) _발주내역_3월기성내역_설계변경산출_설계변경내역서" xfId="505" xr:uid="{73FD819C-503C-44A0-9CEC-AAD9EBD933A6}"/>
    <cellStyle name="_적격(화산) _발주내역_3월기성내역_설계변경산출_설계변경내역서_내역서제경비제외123" xfId="506" xr:uid="{6B3BF555-1E02-4EFB-A711-EC068ADF3657}"/>
    <cellStyle name="_적격(화산) _발주내역_3월기성내역_설계변경산출_설계변경내역서_설계변경내역서(2006년)" xfId="507" xr:uid="{8267D8BA-D7FC-443F-B163-AB4384018EE7}"/>
    <cellStyle name="_적격(화산) _발주내역_3월기성내역_설계변경산출_설계변경내역서_설계변경내역서(물가변동)" xfId="508" xr:uid="{9C533CAB-9E47-4E6F-922E-27A94E1C42D3}"/>
    <cellStyle name="_적격(화산) _발주내역_3월기성내역_설계변경산출_설계변경내역서_실정보고내역집계(2006)" xfId="509" xr:uid="{8979B83E-CA6B-4DD0-A4E3-652DB7830B10}"/>
    <cellStyle name="_적격(화산) _발주내역_3월기성내역_설계변경산출_통신관로(9공구)" xfId="510" xr:uid="{04C3E464-1AD6-4166-B3C5-0E297789A095}"/>
    <cellStyle name="_적격(화산) _발주내역_3월기성내역_설계변경산출_통신관로(9공구)_설계변경내역서" xfId="511" xr:uid="{7A846FF0-6D08-4E68-AEBA-12B46CD1CE00}"/>
    <cellStyle name="_적격(화산) _발주내역_3월기성내역_설계변경산출_통신관로(9공구)_설계변경내역서_내역서제경비제외123" xfId="512" xr:uid="{F450AE38-13C8-42DF-9B7C-520A1A57CF9E}"/>
    <cellStyle name="_적격(화산) _발주내역_3월기성내역_설계변경산출_통신관로(9공구)_설계변경내역서_설계변경내역서(2006년)" xfId="513" xr:uid="{89EDAED3-B247-4EB1-AE41-B0B77C536099}"/>
    <cellStyle name="_적격(화산) _발주내역_3월기성내역_설계변경산출_통신관로(9공구)_설계변경내역서_설계변경내역서(물가변동)" xfId="514" xr:uid="{1D2CDD4B-60DE-4B8C-A3F9-DDE136359D92}"/>
    <cellStyle name="_적격(화산) _발주내역_3월기성내역_설계변경산출_통신관로(9공구)_설계변경내역서_실정보고내역집계(2006)" xfId="515" xr:uid="{30292D04-E44F-4CDF-9730-9B234FFD576E}"/>
    <cellStyle name="_적격(화산) _발주내역_5월기성내역" xfId="516" xr:uid="{B92C9998-EC2C-4BB3-A3E9-C3C5C6C38093}"/>
    <cellStyle name="_적격(화산) _발주내역_5월기성내역_설계변경내역서" xfId="517" xr:uid="{FE74110A-B44E-4C77-9583-B79EFCEEC402}"/>
    <cellStyle name="_적격(화산) _발주내역_5월기성내역_설계변경내역서_내역서제경비제외123" xfId="518" xr:uid="{FA208EEE-8D5E-4106-8C48-1DBF484C4060}"/>
    <cellStyle name="_적격(화산) _발주내역_5월기성내역_설계변경내역서_설계변경내역서(2006년)" xfId="519" xr:uid="{B0173962-46FD-4C94-8FB9-2C97A5C793BD}"/>
    <cellStyle name="_적격(화산) _발주내역_5월기성내역_설계변경내역서_설계변경내역서(물가변동)" xfId="520" xr:uid="{E8E7C2C5-CD10-442A-AD2D-58421E356B11}"/>
    <cellStyle name="_적격(화산) _발주내역_5월기성내역_설계변경내역서_실정보고내역집계(2006)" xfId="521" xr:uid="{3FE517CD-DAA6-4C62-944D-572F2E38D71E}"/>
    <cellStyle name="_적격(화산) _발주내역_5월기성내역_설계변경산출" xfId="522" xr:uid="{6BDD887F-820E-4BFA-BF3D-AF548DB71178}"/>
    <cellStyle name="_적격(화산) _발주내역_5월기성내역_설계변경산출_9공구대우통신관로" xfId="523" xr:uid="{D55A8D22-1464-42D6-934C-FB10FC075566}"/>
    <cellStyle name="_적격(화산) _발주내역_5월기성내역_설계변경산출_9공구대우통신관로_설계변경내역서" xfId="524" xr:uid="{D6195EE9-3B96-46A1-82D8-D262004B4968}"/>
    <cellStyle name="_적격(화산) _발주내역_5월기성내역_설계변경산출_9공구대우통신관로_설계변경내역서_내역서제경비제외123" xfId="525" xr:uid="{360F1102-AEFA-44AF-806E-8AD355851D49}"/>
    <cellStyle name="_적격(화산) _발주내역_5월기성내역_설계변경산출_9공구대우통신관로_설계변경내역서_설계변경내역서(2006년)" xfId="526" xr:uid="{9792D488-B565-4BE9-A10A-B8A34419A4C7}"/>
    <cellStyle name="_적격(화산) _발주내역_5월기성내역_설계변경산출_9공구대우통신관로_설계변경내역서_설계변경내역서(물가변동)" xfId="527" xr:uid="{D7DFE809-5629-405B-8E82-D1B23F13DF23}"/>
    <cellStyle name="_적격(화산) _발주내역_5월기성내역_설계변경산출_9공구대우통신관로_설계변경내역서_실정보고내역집계(2006)" xfId="528" xr:uid="{5EE3D89D-3D4D-4EAB-8D43-A17169187B02}"/>
    <cellStyle name="_적격(화산) _발주내역_5월기성내역_설계변경산출_설계변경내역서" xfId="529" xr:uid="{69BB7C2E-0C0A-4EF1-8919-ACAD85FA8EEE}"/>
    <cellStyle name="_적격(화산) _발주내역_5월기성내역_설계변경산출_설계변경내역서_내역서제경비제외123" xfId="530" xr:uid="{4AD22347-866B-483F-BD81-338406868834}"/>
    <cellStyle name="_적격(화산) _발주내역_5월기성내역_설계변경산출_설계변경내역서_설계변경내역서(2006년)" xfId="531" xr:uid="{D9F1524F-6B54-44CB-99F7-DDADD420898D}"/>
    <cellStyle name="_적격(화산) _발주내역_5월기성내역_설계변경산출_설계변경내역서_설계변경내역서(물가변동)" xfId="532" xr:uid="{BA92B05B-3582-4947-B4D5-E375E5E6B094}"/>
    <cellStyle name="_적격(화산) _발주내역_5월기성내역_설계변경산출_설계변경내역서_실정보고내역집계(2006)" xfId="533" xr:uid="{51FF5B14-912A-4266-BA88-7C3F9AAF75DB}"/>
    <cellStyle name="_적격(화산) _발주내역_5월기성내역_설계변경산출_통신관로(9공구)" xfId="534" xr:uid="{7CB74400-545D-4D4C-972B-4D51CF520F43}"/>
    <cellStyle name="_적격(화산) _발주내역_5월기성내역_설계변경산출_통신관로(9공구)_설계변경내역서" xfId="535" xr:uid="{76FC5F81-161E-4550-8E5A-D940D2F5312D}"/>
    <cellStyle name="_적격(화산) _발주내역_5월기성내역_설계변경산출_통신관로(9공구)_설계변경내역서_내역서제경비제외123" xfId="536" xr:uid="{4D17723C-CE8F-448D-8901-990B6334B688}"/>
    <cellStyle name="_적격(화산) _발주내역_5월기성내역_설계변경산출_통신관로(9공구)_설계변경내역서_설계변경내역서(2006년)" xfId="537" xr:uid="{DC67B73F-E990-4D9E-BDD4-8FAF2AFF3ABA}"/>
    <cellStyle name="_적격(화산) _발주내역_5월기성내역_설계변경산출_통신관로(9공구)_설계변경내역서_설계변경내역서(물가변동)" xfId="538" xr:uid="{C3EC0E81-F76F-4E74-A7AD-4333D3527F2E}"/>
    <cellStyle name="_적격(화산) _발주내역_5월기성내역_설계변경산출_통신관로(9공구)_설계변경내역서_실정보고내역집계(2006)" xfId="539" xr:uid="{A320DCBC-2D8F-485F-834A-941C68524406}"/>
    <cellStyle name="_적격(화산) _발주내역_설계변경내역서" xfId="540" xr:uid="{D1319C5E-ED14-4B48-AC23-9E6E31104AD2}"/>
    <cellStyle name="_적격(화산) _발주내역_설계변경내역서_내역서제경비제외123" xfId="541" xr:uid="{CBDC560F-BC2A-491E-82F1-464510F581DB}"/>
    <cellStyle name="_적격(화산) _발주내역_설계변경내역서_설계변경내역서(2006년)" xfId="542" xr:uid="{5DEFD4E5-6D0B-4214-9B30-571B7A1BE34E}"/>
    <cellStyle name="_적격(화산) _발주내역_설계변경내역서_설계변경내역서(물가변동)" xfId="543" xr:uid="{CD67CE49-DC5C-4225-976C-725C7A0FD333}"/>
    <cellStyle name="_적격(화산) _발주내역_설계변경내역서_실정보고내역집계(2006)" xfId="544" xr:uid="{2F856464-B6E3-4F4B-962C-CB3387EC16F2}"/>
    <cellStyle name="_적격(화산) _발주내역_설계변경산출" xfId="545" xr:uid="{3B70F82A-D45B-4E94-94AA-27EAC6C0ED7F}"/>
    <cellStyle name="_적격(화산) _발주내역_설계변경산출_9공구대우통신관로" xfId="546" xr:uid="{437EB34D-4B10-4C5A-83F2-416A40D7E50A}"/>
    <cellStyle name="_적격(화산) _발주내역_설계변경산출_9공구대우통신관로_설계변경내역서" xfId="547" xr:uid="{B62B4E1E-1F70-4786-9931-9E416FF92726}"/>
    <cellStyle name="_적격(화산) _발주내역_설계변경산출_9공구대우통신관로_설계변경내역서_내역서제경비제외123" xfId="548" xr:uid="{337CFC39-FFD5-4886-8495-650E8768707E}"/>
    <cellStyle name="_적격(화산) _발주내역_설계변경산출_9공구대우통신관로_설계변경내역서_설계변경내역서(2006년)" xfId="549" xr:uid="{1CB1A1B7-EC72-4B71-9AF7-76D94A263FAF}"/>
    <cellStyle name="_적격(화산) _발주내역_설계변경산출_9공구대우통신관로_설계변경내역서_설계변경내역서(물가변동)" xfId="550" xr:uid="{8F569E4C-32F8-4865-8114-06AF09808634}"/>
    <cellStyle name="_적격(화산) _발주내역_설계변경산출_9공구대우통신관로_설계변경내역서_실정보고내역집계(2006)" xfId="551" xr:uid="{43E41E63-9C19-442E-A07F-1B9E48B5CED8}"/>
    <cellStyle name="_적격(화산) _발주내역_설계변경산출_설계변경내역서" xfId="552" xr:uid="{F29EE462-6179-447C-9076-0ECB7A8BBAFE}"/>
    <cellStyle name="_적격(화산) _발주내역_설계변경산출_설계변경내역서_내역서제경비제외123" xfId="553" xr:uid="{5596CD92-94EE-4990-AC96-708DDF4049BE}"/>
    <cellStyle name="_적격(화산) _발주내역_설계변경산출_설계변경내역서_설계변경내역서(2006년)" xfId="554" xr:uid="{B283E39E-FCAF-4AF6-9B0C-C69FD59D7236}"/>
    <cellStyle name="_적격(화산) _발주내역_설계변경산출_설계변경내역서_설계변경내역서(물가변동)" xfId="555" xr:uid="{BBC4D5F8-57B9-4B7A-A925-6BAC6B66BE7B}"/>
    <cellStyle name="_적격(화산) _발주내역_설계변경산출_설계변경내역서_실정보고내역집계(2006)" xfId="556" xr:uid="{23FCBCCF-75EA-4E0B-9AEF-ABEF04FC0F7E}"/>
    <cellStyle name="_적격(화산) _발주내역_설계변경산출_통신관로(9공구)" xfId="557" xr:uid="{B89C6B2E-05FC-4B18-B3E1-BE79110C63A1}"/>
    <cellStyle name="_적격(화산) _발주내역_설계변경산출_통신관로(9공구)_설계변경내역서" xfId="558" xr:uid="{D4D59FDF-6959-4DF0-ACEC-AB53B51A545C}"/>
    <cellStyle name="_적격(화산) _발주내역_설계변경산출_통신관로(9공구)_설계변경내역서_내역서제경비제외123" xfId="559" xr:uid="{75EE5127-D872-4033-9399-A3BF4E0CD619}"/>
    <cellStyle name="_적격(화산) _발주내역_설계변경산출_통신관로(9공구)_설계변경내역서_설계변경내역서(2006년)" xfId="560" xr:uid="{4A4D4002-9EE8-44DE-A1BE-C87AC6AC3CFE}"/>
    <cellStyle name="_적격(화산) _발주내역_설계변경산출_통신관로(9공구)_설계변경내역서_설계변경내역서(물가변동)" xfId="561" xr:uid="{27E0F148-40C6-4631-BEC0-5EC6DF33DC1C}"/>
    <cellStyle name="_적격(화산) _발주내역_설계변경산출_통신관로(9공구)_설계변경내역서_실정보고내역집계(2006)" xfId="562" xr:uid="{562BEB21-67B5-4694-8E46-9DF9DE662395}"/>
    <cellStyle name="_적격(화산) _설계변경내역서" xfId="563" xr:uid="{AC5E6048-3751-45D3-9B3C-5116D46BE503}"/>
    <cellStyle name="_적격(화산) _설계변경내역서_내역서제경비제외123" xfId="564" xr:uid="{099A892C-7C4F-4BA1-B836-FC8D29D5B1D0}"/>
    <cellStyle name="_적격(화산) _설계변경내역서_설계변경내역서(2006년)" xfId="565" xr:uid="{CC3525E4-3A53-4896-9005-97780184222C}"/>
    <cellStyle name="_적격(화산) _설계변경내역서_설계변경내역서(물가변동)" xfId="566" xr:uid="{43AFDE05-DB01-423A-8F7D-0F89C46DFDCC}"/>
    <cellStyle name="_적격(화산) _설계변경내역서_실정보고내역집계(2006)" xfId="567" xr:uid="{B463FEB5-4E99-48C6-985F-E0EF586DA813}"/>
    <cellStyle name="_적격(화산) _설계변경산출" xfId="568" xr:uid="{C25E49F9-56CE-442D-9601-3110C5726923}"/>
    <cellStyle name="_적격(화산) _설계변경산출_9공구대우통신관로" xfId="569" xr:uid="{973E6243-0CEE-440A-B010-14EB2C0DE20F}"/>
    <cellStyle name="_적격(화산) _설계변경산출_9공구대우통신관로_설계변경내역서" xfId="570" xr:uid="{D185D226-A6A7-4E9B-95C8-0B8B0CD2DA24}"/>
    <cellStyle name="_적격(화산) _설계변경산출_9공구대우통신관로_설계변경내역서_내역서제경비제외123" xfId="571" xr:uid="{25AFC63D-9457-4762-B7C1-CDC517EBDDFE}"/>
    <cellStyle name="_적격(화산) _설계변경산출_9공구대우통신관로_설계변경내역서_설계변경내역서(2006년)" xfId="572" xr:uid="{B24ADBD6-0453-45DC-9784-49D0E755D604}"/>
    <cellStyle name="_적격(화산) _설계변경산출_9공구대우통신관로_설계변경내역서_설계변경내역서(물가변동)" xfId="573" xr:uid="{168EA747-EDF4-40BB-9922-55230E51282F}"/>
    <cellStyle name="_적격(화산) _설계변경산출_9공구대우통신관로_설계변경내역서_실정보고내역집계(2006)" xfId="574" xr:uid="{E6BFB3C4-0D22-421B-8D41-C5149C02E71A}"/>
    <cellStyle name="_적격(화산) _설계변경산출_설계변경내역서" xfId="575" xr:uid="{F24BE2EF-EAB8-4098-A379-0BEF0D2DE0E1}"/>
    <cellStyle name="_적격(화산) _설계변경산출_설계변경내역서_내역서제경비제외123" xfId="576" xr:uid="{1923AF4B-2AED-482C-9401-9CB36AF23506}"/>
    <cellStyle name="_적격(화산) _설계변경산출_설계변경내역서_설계변경내역서(2006년)" xfId="577" xr:uid="{748111C4-15B6-41D9-BDA8-11535A8E39B5}"/>
    <cellStyle name="_적격(화산) _설계변경산출_설계변경내역서_설계변경내역서(물가변동)" xfId="578" xr:uid="{C3388741-3E89-4B83-A90E-7EA1E3376E3B}"/>
    <cellStyle name="_적격(화산) _설계변경산출_설계변경내역서_실정보고내역집계(2006)" xfId="579" xr:uid="{9B326622-BA0C-495A-8231-4BFB81B03154}"/>
    <cellStyle name="_적격(화산) _설계변경산출_통신관로(9공구)" xfId="580" xr:uid="{F1F4E60F-60D0-47FF-BCAA-19E3C0613E8E}"/>
    <cellStyle name="_적격(화산) _설계변경산출_통신관로(9공구)_설계변경내역서" xfId="581" xr:uid="{AC17DB1C-ABE7-4D85-BF88-2D027245C776}"/>
    <cellStyle name="_적격(화산) _설계변경산출_통신관로(9공구)_설계변경내역서_내역서제경비제외123" xfId="582" xr:uid="{E3D5C7B0-01E2-4988-8794-D3252DEDFF87}"/>
    <cellStyle name="_적격(화산) _설계변경산출_통신관로(9공구)_설계변경내역서_설계변경내역서(2006년)" xfId="583" xr:uid="{12EDD009-754F-415F-97C1-472E41D7188B}"/>
    <cellStyle name="_적격(화산) _설계변경산출_통신관로(9공구)_설계변경내역서_설계변경내역서(물가변동)" xfId="584" xr:uid="{A84A499E-5935-4284-89CD-E714956F1E24}"/>
    <cellStyle name="_적격(화산) _설계변경산출_통신관로(9공구)_설계변경내역서_실정보고내역집계(2006)" xfId="585" xr:uid="{DA8D7668-7C04-4EE0-B99A-D0F05165E60C}"/>
    <cellStyle name="_적용대가" xfId="586" xr:uid="{47EBD806-E2B6-4B78-BFA0-0A4F4B6C279B}"/>
    <cellStyle name="_적용대가12356" xfId="587" xr:uid="{01D98428-C8CC-45A1-8D98-14054B21A2C5}"/>
    <cellStyle name="_집계" xfId="588" xr:uid="{E9337B6B-6EC9-457C-90EE-84BC80FAC5D6}"/>
    <cellStyle name="_집행갑지 " xfId="53" xr:uid="{9AAD2209-0132-4526-AAEE-91647B02F57B}"/>
    <cellStyle name="_집행갑지 _101025_설변예정보고(용정교하부상수도이설)" xfId="54" xr:uid="{10D5C56A-9141-4F46-8E53-68D0046F93C8}"/>
    <cellStyle name="_착공계" xfId="589" xr:uid="{EEC821C5-4E94-4F38-A068-A8911B77040A}"/>
    <cellStyle name="_충청권 평가위원1" xfId="55" xr:uid="{E6E8147B-A6C5-4570-B9A8-3CADA252B9A8}"/>
    <cellStyle name="_표지판 변경사유(학산영동)" xfId="590" xr:uid="{02461BA9-F66B-4ADE-905A-8905DA191C7F}"/>
    <cellStyle name="_표지판변경현황" xfId="591" xr:uid="{70A6A2E1-5DA5-452F-BBFA-1D8DEDA3FC28}"/>
    <cellStyle name="¡¾¨u￠￢ⓒ÷A¨u," xfId="56" xr:uid="{DBC8A7C6-56E0-448D-ACF9-2924C05CC2F2}"/>
    <cellStyle name="’E‰Y [0.00]_laroux" xfId="57" xr:uid="{C74BB5FC-EB54-472B-B3F7-1A13A461BCEE}"/>
    <cellStyle name="’E‰Y_laroux" xfId="58" xr:uid="{0AC99610-1DF2-41EA-B147-F96AB1B84C64}"/>
    <cellStyle name="¤@?e_TEST-1 " xfId="59" xr:uid="{166DF0C6-664E-44DF-BC73-20CA7092A088}"/>
    <cellStyle name="\MNPREF32.DLL&amp;" xfId="592" xr:uid="{F8098EFF-F56C-4453-AD27-D4DA59848D2E}"/>
    <cellStyle name="=" xfId="60" xr:uid="{AE8FF25F-B1CD-4D90-B590-584D9CEEF38A}"/>
    <cellStyle name="△ [0]" xfId="593" xr:uid="{27C483CB-C4FF-4AF7-B42F-5093DF237757}"/>
    <cellStyle name="°ia¤¼o " xfId="61" xr:uid="{18344492-6839-4880-BC4D-8EA83279E7EE}"/>
    <cellStyle name="°ia¤aa " xfId="62" xr:uid="{4EC94C13-D581-41B8-ADCA-82B09A6A9421}"/>
    <cellStyle name="0.0" xfId="594" xr:uid="{7524E39E-FB5E-42FB-906B-B7FB199817C1}"/>
    <cellStyle name="0.00" xfId="595" xr:uid="{53FBE7B6-7BEF-4488-A491-DCA3DFD3BBB7}"/>
    <cellStyle name="၃urrency_OTD thru NOR " xfId="63" xr:uid="{3B2FC140-8AAA-46F2-9D8A-93F2242F2551}"/>
    <cellStyle name="60" xfId="596" xr:uid="{8F7A510D-75EA-41AD-947B-05B41F7C7A51}"/>
    <cellStyle name="a [0]_mud plant bolted" xfId="597" xr:uid="{8C37F571-F313-4868-8BEC-331466776BF6}"/>
    <cellStyle name="Ā _x0010_က랐_xdc01_땯_x0001_" xfId="598" xr:uid="{48F51A3F-A68D-4DB2-8C0B-D92A55101B18}"/>
    <cellStyle name="A¨­￠￢￠O [0]_INQUIRY ￠?￥i¨u¡AAⓒ￢Aⓒª " xfId="599" xr:uid="{D7E8B068-0E40-4DF0-9A10-D187E445A3AE}"/>
    <cellStyle name="A¨­￠￢￠O_INQUIRY ￠?￥i¨u¡AAⓒ￢Aⓒª " xfId="600" xr:uid="{05E63D9E-C09F-4A74-9316-82A7B974BEFB}"/>
    <cellStyle name="a-4" xfId="601" xr:uid="{94A27F38-43E5-4C73-9CD9-79544B7F6D65}"/>
    <cellStyle name="Aee­ " xfId="64" xr:uid="{C9E19A74-27DB-49F1-BCAA-885FCC5E752B}"/>
    <cellStyle name="AeE­ [0]_ 2ÆAAþº° " xfId="65" xr:uid="{2CC6E001-4400-40F2-9F38-C9B75619AF43}"/>
    <cellStyle name="ÅëÈ­ [0]_¿ø°¡(±ÝÈ¸) (3)" xfId="66" xr:uid="{62CEEE04-AD9A-41E0-811B-733663C0ACC3}"/>
    <cellStyle name="AeE­ [0]_¼oAI¼º " xfId="602" xr:uid="{4951C99E-62F9-48F9-8498-406BF0364597}"/>
    <cellStyle name="Aee­ _101025_설변예정보고(용정교하부상수도이설)" xfId="67" xr:uid="{814C8006-5E8A-4EF9-9D48-C3C8C494A928}"/>
    <cellStyle name="AeE­_ 2ÆAAþº° " xfId="68" xr:uid="{5D039DB4-EB73-4A09-BA1D-F46B3DE9ABF3}"/>
    <cellStyle name="ÅëÈ­_¿ø°¡(±ÝÈ¸) (3)" xfId="69" xr:uid="{B2E92185-3C4A-45E4-817B-0D7B28836F37}"/>
    <cellStyle name="AeE­_¼oAI¼º " xfId="603" xr:uid="{7B5D787C-FE64-4BF2-B658-A42B7DA788ED}"/>
    <cellStyle name="AeE¡ⓒ [0]_INQUIRY ￠?￥i¨u¡AAⓒ￢Aⓒª " xfId="604" xr:uid="{47455FE4-9ED1-4E5A-AE8A-B92FD160B75D}"/>
    <cellStyle name="AeE¡ⓒ_INQUIRY ￠?￥i¨u¡AAⓒ￢Aⓒª " xfId="605" xr:uid="{F70D15BB-7FEE-4CA0-AFB0-B76281BD8EA2}"/>
    <cellStyle name="Æu¼ " xfId="70" xr:uid="{85C2735B-CA32-44E1-BC30-EA6064E9797C}"/>
    <cellStyle name="ALIGNMENT" xfId="71" xr:uid="{B1384971-7336-41B9-8DF8-D30ED986A480}"/>
    <cellStyle name="args.style" xfId="606" xr:uid="{ACF0B690-5B14-4AE7-A453-C75484C771C2}"/>
    <cellStyle name="AÞ¸¶ [0]_ 2ÆAAþº° " xfId="72" xr:uid="{BB417808-AB79-4F8F-8FC1-0A7855CD45FA}"/>
    <cellStyle name="ÄÞ¸¶ [0]_¿ø°¡(±ÝÈ¸) (3)" xfId="73" xr:uid="{6DD1620C-6423-48F7-9930-16056F912486}"/>
    <cellStyle name="AÞ¸¶ [0]_°¡³ª´U " xfId="607" xr:uid="{A9F50E86-9AB6-4CC7-BB24-7932B2900091}"/>
    <cellStyle name="AÞ¸¶_ 2ÆAAþº° " xfId="74" xr:uid="{BDBDC7EE-1510-4A45-961D-64D73E0C8E04}"/>
    <cellStyle name="ÄÞ¸¶_¿ø°¡(±ÝÈ¸) (3)" xfId="75" xr:uid="{3D318635-7130-4885-8BEC-C082A43A04A4}"/>
    <cellStyle name="AÞ¸¶_¼oAI¼º " xfId="608" xr:uid="{74B116B8-FEC4-4D80-BFE9-CFAEC6BF0628}"/>
    <cellStyle name="Au¸r " xfId="76" xr:uid="{845A1051-E2A4-4765-B821-D06B45EE3CAE}"/>
    <cellStyle name="_x0001_b" xfId="77" xr:uid="{5C1CF9A0-6B34-4EC8-915C-242D247CF1C8}"/>
    <cellStyle name="blank" xfId="609" xr:uid="{77BCFD4A-D320-4675-AD4C-B67752D43D7B}"/>
    <cellStyle name="blank - Style1" xfId="610" xr:uid="{1BAB459E-0CA4-4045-8294-ED4B9F1B73C3}"/>
    <cellStyle name="C¡IA¨ª_¡ic¨u¡A¨￢I¨￢¡Æ AN¡Æe " xfId="611" xr:uid="{6C6EFEDE-1457-46B3-9111-76DC559EF5DC}"/>
    <cellStyle name="C￥AØ_  FAB AIA¤  " xfId="78" xr:uid="{ECCE0BB7-C895-4249-A094-7FAADF397DC6}"/>
    <cellStyle name="Ç¥ÁØ_¿ø°¡(±ÝÈ¸) (3)" xfId="79" xr:uid="{8421BFDF-F658-41E4-A651-CE76E6708689}"/>
    <cellStyle name="C￥AØ_¿ø°¡SM " xfId="80" xr:uid="{418E37F8-13E1-45B9-8FF1-7A5CFBA8FBBC}"/>
    <cellStyle name="Ç¥ÁØ_»óºÎ¼ö·®Áý°è " xfId="81" xr:uid="{0FB4D060-A579-4680-B2EF-AD8F2CDE29E1}"/>
    <cellStyle name="C￥AØ_≫c¾÷ºIº° AN°e " xfId="82" xr:uid="{64AE41B5-2806-4CD4-A443-6998D70486EA}"/>
    <cellStyle name="Ç¥ÁØ_ÅÍ³Î(MESSER)¹ßÁÖ " xfId="83" xr:uid="{B38D6474-3904-40CD-8CC1-F6CDE6D6D913}"/>
    <cellStyle name="C￥AØ_Ao¿ªº° IPCO´c ¹øE￡" xfId="612" xr:uid="{B3353F22-0273-49CF-9A33-3AD93BCA63F9}"/>
    <cellStyle name="Ç¥ÁØ_Sheet1 (2)" xfId="613" xr:uid="{1CD642D2-658E-462C-B9E2-18BEC0833DA2}"/>
    <cellStyle name="Calc Currency (0)" xfId="84" xr:uid="{BB906441-27F3-4D15-AE2D-9645085F1C08}"/>
    <cellStyle name="Calc Currency (2)" xfId="614" xr:uid="{501B7A1A-6C15-446F-86CA-F2445B4AC3C7}"/>
    <cellStyle name="Calc Percent (0)" xfId="615" xr:uid="{0E8A5E90-8A94-4765-9A07-B6F548E60423}"/>
    <cellStyle name="Calc Percent (1)" xfId="616" xr:uid="{EE992815-1D47-4A4A-859E-A6663823C96B}"/>
    <cellStyle name="Calc Percent (2)" xfId="617" xr:uid="{45D10F25-90E4-406B-86C9-A1E574B729C6}"/>
    <cellStyle name="Calc Units (0)" xfId="618" xr:uid="{FDFE0E87-D92C-453A-A5A0-712C781B00E3}"/>
    <cellStyle name="Calc Units (1)" xfId="619" xr:uid="{C5A3E4E1-7FC8-4C11-BDF2-5015D8A4AB73}"/>
    <cellStyle name="Calc Units (2)" xfId="620" xr:uid="{F151D016-3B68-4BCA-88BC-0687DC25F413}"/>
    <cellStyle name="category" xfId="621" xr:uid="{22E1FA17-9405-4B01-8E11-B9E6734E9794}"/>
    <cellStyle name="Comma" xfId="85" xr:uid="{8AA80101-DB3E-4EBE-B47C-339F602EE0BD}"/>
    <cellStyle name="Comma  - Style2" xfId="622" xr:uid="{4BD96A61-4085-4815-A73D-D431D9BD9DF8}"/>
    <cellStyle name="Comma  - Style3" xfId="623" xr:uid="{40E23D94-2DE6-4763-B12D-2F38512607A9}"/>
    <cellStyle name="Comma  - Style4" xfId="624" xr:uid="{3265243B-2837-42A2-B116-467048E49B65}"/>
    <cellStyle name="Comma  - Style5" xfId="625" xr:uid="{E55FEE2F-A424-47FB-9E41-918EE2502FC7}"/>
    <cellStyle name="Comma  - Style6" xfId="626" xr:uid="{9D795A0F-7D84-415C-8B6B-777CD26D6989}"/>
    <cellStyle name="Comma  - Style7" xfId="627" xr:uid="{BFB7445B-8F0B-4F9E-B223-5E9D67A6625A}"/>
    <cellStyle name="Comma  - Style8" xfId="628" xr:uid="{8F62BFC9-4FF8-4F91-A16B-68AE73F351A0}"/>
    <cellStyle name="Comma [0]" xfId="86" xr:uid="{485067E9-CEDC-4461-A57F-0FE8201063B7}"/>
    <cellStyle name="Comma [00]" xfId="629" xr:uid="{7D52B0AA-9C72-48EA-ABEA-F82BD1DAD0C4}"/>
    <cellStyle name="comma zerodec" xfId="87" xr:uid="{9100B0A1-0131-4267-8FAF-96DE432E65FE}"/>
    <cellStyle name="Comma_ SG&amp;A Bridge " xfId="88" xr:uid="{AFF5C649-95DB-4F41-A956-989AA96BDB96}"/>
    <cellStyle name="Comma0" xfId="630" xr:uid="{21B96F9C-5DCA-40DB-A4D0-A9041CF530BC}"/>
    <cellStyle name="Copied" xfId="89" xr:uid="{31E42B14-27BE-402F-9E46-06F734A3ADA7}"/>
    <cellStyle name="Curren?_x0012_퐀_x0017_?" xfId="90" xr:uid="{3CA1374F-F67E-4931-B538-757E6E0C85DB}"/>
    <cellStyle name="Currency" xfId="91" xr:uid="{6D07A116-073B-44AF-90FD-27580581CD42}"/>
    <cellStyle name="Currency [0]" xfId="92" xr:uid="{AE0FA49D-D07F-4A5C-A9D8-496A817D5A33}"/>
    <cellStyle name="Currency_ SG&amp;A Bridge " xfId="93" xr:uid="{1648D8FC-06E3-43C8-995B-9EAABB5BDF8D}"/>
    <cellStyle name="Currency0" xfId="631" xr:uid="{8AA52463-B34A-4269-829B-0F09BFD5EEC9}"/>
    <cellStyle name="Currency1" xfId="94" xr:uid="{264F581D-9414-4DD7-91BD-A38C4F0EE2E9}"/>
    <cellStyle name="Currency1 2" xfId="632" xr:uid="{63C8EBB0-6762-455C-8991-3ECFC78834E2}"/>
    <cellStyle name="Date" xfId="95" xr:uid="{38143808-24D1-4033-8F7F-A77B542E5136}"/>
    <cellStyle name="Dezimal [0]_laroux" xfId="96" xr:uid="{EEB6CB5B-C8D7-4F54-927F-2DF878E0717F}"/>
    <cellStyle name="Dezimal_laroux" xfId="97" xr:uid="{2439D6B9-4B61-42FF-A1AA-4A7419C35E3B}"/>
    <cellStyle name="Dollar (zero dec)" xfId="98" xr:uid="{3BFD2F7B-0808-479D-B79E-09EEFC16553B}"/>
    <cellStyle name="Entered" xfId="99" xr:uid="{4BA56E6A-0DB7-4FA8-9307-AB5D27AC873C}"/>
    <cellStyle name="Euro" xfId="100" xr:uid="{769C6080-43DB-45CC-9A11-E801FEC5654B}"/>
    <cellStyle name="F2" xfId="101" xr:uid="{F2345D11-8753-4668-8044-ED4FB3A9D51C}"/>
    <cellStyle name="F3" xfId="102" xr:uid="{CE140816-E771-4D51-9ADC-8B433B097834}"/>
    <cellStyle name="F4" xfId="103" xr:uid="{790FF18C-E10F-49EA-8007-A880AB8AC08D}"/>
    <cellStyle name="F5" xfId="104" xr:uid="{439641C1-FDE8-4D5B-975C-C65C8C3C0292}"/>
    <cellStyle name="F6" xfId="105" xr:uid="{F46874F2-20DE-4C09-AD9E-30E315D62286}"/>
    <cellStyle name="F7" xfId="106" xr:uid="{81E00F49-8F31-4510-98DE-2A7A62E3FF23}"/>
    <cellStyle name="F8" xfId="107" xr:uid="{DC3D73A0-489F-4205-AA18-6632A128BE30}"/>
    <cellStyle name="Fixed" xfId="108" xr:uid="{84196E2D-2118-4E47-8431-B6DBE42429D5}"/>
    <cellStyle name="Followed Hyperlink" xfId="109" xr:uid="{D95355E0-225F-4163-BC84-721127E1455A}"/>
    <cellStyle name="G/표준" xfId="633" xr:uid="{420A14C9-ECF4-47D2-BB5A-BF354DC630C6}"/>
    <cellStyle name="Grey" xfId="110" xr:uid="{FC4359B9-C2E1-47EC-B2F2-279A87EBD390}"/>
    <cellStyle name="HEADER" xfId="634" xr:uid="{9E598575-8607-44F8-9B33-A166F76EF35F}"/>
    <cellStyle name="Header1" xfId="111" xr:uid="{EB5C4EC6-92CF-4EB6-9D6D-70A294863EDD}"/>
    <cellStyle name="Header2" xfId="112" xr:uid="{E5043CEA-C7B7-48B7-99F5-63725141DB29}"/>
    <cellStyle name="Heading 1" xfId="635" xr:uid="{2D9BD938-8C6D-4F8B-BDD2-169044A724C3}"/>
    <cellStyle name="Heading 2" xfId="636" xr:uid="{F13D4157-1C2D-407C-A416-EFC2B80BA753}"/>
    <cellStyle name="Heading1" xfId="113" xr:uid="{AD2AF4C7-B728-4F47-881A-73E5DCF6DEFE}"/>
    <cellStyle name="Heading2" xfId="114" xr:uid="{897DD530-661B-4254-95DE-1304FCFF4EEC}"/>
    <cellStyle name="Hyperlink" xfId="115" xr:uid="{CF4D8AD7-F36E-4E9A-B0EE-F93617BB55AB}"/>
    <cellStyle name="Input [yellow]" xfId="116" xr:uid="{3B2A6F25-9296-464C-B7B6-FAEB64BB09FE}"/>
    <cellStyle name="L`" xfId="637" xr:uid="{E67461A1-D224-4474-8435-AB1384F9F642}"/>
    <cellStyle name="Midtitle" xfId="117" xr:uid="{FE3AE30E-BE64-4C06-9FA9-C56836FCBDB9}"/>
    <cellStyle name="Milliers [0]_Arabian Spec" xfId="118" xr:uid="{CF3F8A95-C76E-492F-B7C4-577BD47B87AA}"/>
    <cellStyle name="Milliers_Arabian Spec" xfId="119" xr:uid="{8D78F123-5469-46BB-B801-C36EB27FEF39}"/>
    <cellStyle name="Model" xfId="638" xr:uid="{E07C0033-05BB-4C8B-9AE7-243BE6FFFEE6}"/>
    <cellStyle name="Mon?aire [0]_Arabian Spec" xfId="120" xr:uid="{59A3543B-566B-44E1-9708-925F8553F67E}"/>
    <cellStyle name="Mon?aire_Arabian Spec" xfId="121" xr:uid="{785D74FE-7470-4D20-A474-51D401EDC526}"/>
    <cellStyle name="NEW정렬" xfId="639" xr:uid="{7C8D2343-F353-49AE-9C07-597B0B99CCE6}"/>
    <cellStyle name="no dec" xfId="640" xr:uid="{B9A6DB17-676B-4869-9ADE-BDD03D435EFB}"/>
    <cellStyle name="Normal - Style1" xfId="122" xr:uid="{474B1BA5-BC58-4BD1-A228-413FA6DC8152}"/>
    <cellStyle name="Normal - 유형1" xfId="641" xr:uid="{A78BB8EB-CE66-4F11-BBEE-C683F9BB1B13}"/>
    <cellStyle name="Normal_ SG&amp;A Bridge " xfId="123" xr:uid="{F05577E8-D3FA-4727-A9A0-9A37D297BF0B}"/>
    <cellStyle name="Noroal_ SG&amp;A Bridge " xfId="124" xr:uid="{52BAE591-DBE1-4F41-845F-DF0E810ABFA3}"/>
    <cellStyle name="Œ…?æ맖?e [0.00]_laroux" xfId="125" xr:uid="{9BD206EC-73E5-4863-BB2A-E82F58F7CC25}"/>
    <cellStyle name="Œ…?æ맖?e_laroux" xfId="126" xr:uid="{11DB7758-4DC8-4E16-9A2D-CEB89C789061}"/>
    <cellStyle name="Percent" xfId="127" xr:uid="{29DE1BCF-D12C-4D86-A31D-E61391454836}"/>
    <cellStyle name="Percent [2]" xfId="128" xr:uid="{3178278B-E517-448B-84AA-7008C353932B}"/>
    <cellStyle name="Percent_120910_설변예정보고(순성토운반 변경)" xfId="129" xr:uid="{14FEEED2-9826-4504-9F4E-CFE702D74BC9}"/>
    <cellStyle name="RevList" xfId="130" xr:uid="{AE0B8E71-8625-4525-80C5-0D961FEE07C8}"/>
    <cellStyle name="Standard_laroux" xfId="131" xr:uid="{D7E3B7DC-79D5-4B99-BB71-7F117E9B2598}"/>
    <cellStyle name="subhead" xfId="642" xr:uid="{C581DE7E-EF0F-4AB8-87AA-5AA21E717100}"/>
    <cellStyle name="Subtotal" xfId="132" xr:uid="{D0C7769D-7972-4B02-9E0B-C7EE29E26489}"/>
    <cellStyle name="testtitle" xfId="133" xr:uid="{B47D6736-432D-4E4F-B135-8B0268D9BF40}"/>
    <cellStyle name="Title" xfId="643" xr:uid="{E9437ACE-5BC6-4E17-A553-66EA6077D8C7}"/>
    <cellStyle name="title [1]" xfId="644" xr:uid="{9D8049A8-91A8-4FAE-B5C2-8629EC80FDB7}"/>
    <cellStyle name="title [2]" xfId="645" xr:uid="{5FE612F4-AE2A-45E2-90CB-294F6876AD5D}"/>
    <cellStyle name="Total" xfId="134" xr:uid="{24AEB644-736A-492E-84A5-1B3DF54A309D}"/>
    <cellStyle name="UM" xfId="646" xr:uid="{4FA2DF35-1031-49A4-8223-EB8C31561143}"/>
    <cellStyle name="W?rung [0]_laroux" xfId="135" xr:uid="{E1F0AE1A-29C0-4FB1-9C6A-3569EE21D0D6}"/>
    <cellStyle name="W?rung_laroux" xfId="136" xr:uid="{C6193677-E089-4B4A-8F2F-DD2EB903782D}"/>
    <cellStyle name="_x0008_z" xfId="647" xr:uid="{BABB0EFD-59CB-401B-9617-A47DC5C37B02}"/>
    <cellStyle name="|?ドE" xfId="648" xr:uid="{C920991E-3FD5-4C72-990A-F819AFB9C355}"/>
    <cellStyle name="" xfId="649" xr:uid="{7C60CEC0-E1E9-4D98-94FB-7DAFABE40715}"/>
    <cellStyle name="고정소숫점" xfId="137" xr:uid="{D2076DC3-0F4D-451C-AAA3-58B550466242}"/>
    <cellStyle name="고정출력1" xfId="138" xr:uid="{9244DB6A-AD46-4917-9092-5069644C1D66}"/>
    <cellStyle name="고정출력2" xfId="139" xr:uid="{9BBBA3B0-91D5-4903-84D9-AA743E762B11}"/>
    <cellStyle name="국종합건설" xfId="650" xr:uid="{02F30B82-CAC3-407E-B287-6FC3EDADD179}"/>
    <cellStyle name="끼_x0001_?" xfId="651" xr:uid="{423E77DC-8670-4B83-993F-F1E606AB259B}"/>
    <cellStyle name="나쁨 2" xfId="696" xr:uid="{5D99D3FA-536A-47CB-930B-0F43A124B105}"/>
    <cellStyle name="날짜" xfId="140" xr:uid="{F012D19A-9225-4AC0-B662-D700E8040E35}"/>
    <cellStyle name="내역서" xfId="141" xr:uid="{3CE1F14E-C317-459D-8B01-D862D9D7CB16}"/>
    <cellStyle name="달러" xfId="142" xr:uid="{15001226-904A-4C5A-BBB0-1A0B95CA9489}"/>
    <cellStyle name="뒤에 오는 하이퍼링크_01토공(미진동감액)" xfId="652" xr:uid="{6338D459-248A-44F9-92CA-4A05711C6C6A}"/>
    <cellStyle name="똿떓죶Ø괻 [0.00]_PRODUCT DETAIL Q1" xfId="143" xr:uid="{5345D682-178A-4454-8D18-D5F3A26A78ED}"/>
    <cellStyle name="똿떓죶Ø괻_PRODUCT DETAIL Q1" xfId="144" xr:uid="{76A5A954-EE17-4139-B46D-DF114B10C8C1}"/>
    <cellStyle name="똿뗦먛 - 유형1" xfId="653" xr:uid="{E861E4E4-58F3-4833-9375-EBA57774EB06}"/>
    <cellStyle name="똿뗦먛 - 유형2" xfId="654" xr:uid="{50FF32CC-8D4B-4BBA-A667-BA02F676E8E6}"/>
    <cellStyle name="똿뗦먛 - 유형3" xfId="655" xr:uid="{E7926864-2574-4F00-AB91-F1F75ED589AE}"/>
    <cellStyle name="똿뗦먛 - 유형4" xfId="656" xr:uid="{46DC95F7-30D6-4725-A796-7215989ACB81}"/>
    <cellStyle name="똿뗦먛귟 [0.00]_PRODUCT DETAIL Q1" xfId="145" xr:uid="{631E0C5B-AA88-49FE-A030-9960BEC1C80C}"/>
    <cellStyle name="똿뗦먛귟_PRODUCT DETAIL Q1" xfId="146" xr:uid="{EB195335-AE8D-41C6-BF17-29334CE0C567}"/>
    <cellStyle name="묮뎋 [0.00]_PRODUCT DETAIL Q1" xfId="147" xr:uid="{FE6635EC-7BD1-40EA-A538-662381789DA1}"/>
    <cellStyle name="묮뎋_PRODUCT DETAIL Q1" xfId="148" xr:uid="{5DBFF007-BA3D-438E-9CA7-AE8EEA1863CE}"/>
    <cellStyle name="믅됞 [ - 유형5" xfId="657" xr:uid="{C984B58F-F481-491A-83D8-B20FA5EEE550}"/>
    <cellStyle name="믅됞 [ - 유형6" xfId="658" xr:uid="{807CD596-2200-4A66-9D35-0DC0BF249AFA}"/>
    <cellStyle name="믅됞 [ - 유형7" xfId="659" xr:uid="{8AFFFA61-BE11-435E-AE05-E46E61A46711}"/>
    <cellStyle name="믅됞 [0.00]_PRODUCT DETAIL Q1" xfId="149" xr:uid="{7DB357F6-0EA0-4A50-985D-09B93E0D927A}"/>
    <cellStyle name="믅됞_P - 유형8" xfId="660" xr:uid="{AA39F8A8-0D4E-4D21-B53C-D074D6A8196D}"/>
    <cellStyle name="배분" xfId="661" xr:uid="{1242111C-9CB6-4827-946F-C4837D950EE1}"/>
    <cellStyle name="백 " xfId="150" xr:uid="{47EEDC93-73B5-4D10-A9EA-8AFAAFE64E54}"/>
    <cellStyle name="백분율 [0]" xfId="151" xr:uid="{66EC10F7-4F87-4E2C-8788-F2F0245E63AB}"/>
    <cellStyle name="백분율 [0] 2" xfId="662" xr:uid="{60145E9A-58DF-4379-A290-AC49C5DF07A9}"/>
    <cellStyle name="백분율 [1]" xfId="663" xr:uid="{2C244F02-4A1B-4A92-8B1D-80F626C3BF7A}"/>
    <cellStyle name="백분율 [2]" xfId="664" xr:uid="{E9894320-4812-46BB-8B84-7D94DD8FDA57}"/>
    <cellStyle name="백분율 2" xfId="5" xr:uid="{F744E829-4A85-4DEA-9A14-C411AA497F29}"/>
    <cellStyle name="백분율 2 2" xfId="152" xr:uid="{9776D957-AB92-4BB8-B59C-522B7A710EE8}"/>
    <cellStyle name="백분율 3" xfId="153" xr:uid="{A478A8AF-6EA8-4661-8F11-B817E484FB34}"/>
    <cellStyle name="보통 2" xfId="699" xr:uid="{67DA1E9E-CE54-40EE-9BDA-FB73BE09A5CF}"/>
    <cellStyle name="뷭?_BOOKSHIP" xfId="154" xr:uid="{58DA10D8-9F5C-438B-AE71-D7DC4CE05F27}"/>
    <cellStyle name="선택영역 가운데" xfId="665" xr:uid="{D14E9095-9A1E-4D0F-BBED-9508B279DE45}"/>
    <cellStyle name="선택영역의 가운데" xfId="666" xr:uid="{5083D8A4-7CC4-4E14-9798-848118973302}"/>
    <cellStyle name="선택영역의 가운데로" xfId="667" xr:uid="{6431BB63-88DE-4157-9C60-0953BF21C757}"/>
    <cellStyle name="선택영영" xfId="668" xr:uid="{556956A0-6B3D-49AF-868A-4A9E6C911461}"/>
    <cellStyle name="숫자" xfId="669" xr:uid="{4E8ED071-32FB-4993-B968-90A628E3D6B8}"/>
    <cellStyle name="숫자(R)" xfId="670" xr:uid="{1821D527-45D1-4609-AD36-C9F21236DDC6}"/>
    <cellStyle name="숫자1" xfId="671" xr:uid="{FADD0B9C-F64D-4C58-8732-B633E379DD35}"/>
    <cellStyle name="숫자3" xfId="672" xr:uid="{D25AC3B1-3CA3-4DCF-B035-E353DA260E04}"/>
    <cellStyle name="쉼표 [0] 2" xfId="155" xr:uid="{095A7BC7-D951-4F73-89C2-410FECB3C620}"/>
    <cellStyle name="쉼표 [0] 2 2" xfId="673" xr:uid="{8BED6CEC-F2E2-45A7-BFE2-1AD8B458C0DA}"/>
    <cellStyle name="쉼표 [0] 3" xfId="156" xr:uid="{F144D364-5468-4982-AA90-2CB360FE7EB1}"/>
    <cellStyle name="쉼표 [0] 4" xfId="180" xr:uid="{975CC7B5-1E1D-4E9F-984F-93A4AA5ACE40}"/>
    <cellStyle name="쉼표 [0] 4 2" xfId="182" xr:uid="{A152D759-D4E8-4BDC-9537-0C9652251213}"/>
    <cellStyle name="쉼표 [0] 5" xfId="181" xr:uid="{E4A5EAFB-E901-418B-A5CF-BCB8300FEBAE}"/>
    <cellStyle name="쉼표 [0] 5 2" xfId="674" xr:uid="{CF944984-0361-443A-899F-45EC72A31AA1}"/>
    <cellStyle name="스타일 1" xfId="157" xr:uid="{4EEEDE2E-4D4A-422B-AEF8-A5AD50CCCA42}"/>
    <cellStyle name="스타일 2" xfId="158" xr:uid="{F1021DCE-82DF-42BA-AFC3-C84811BD754A}"/>
    <cellStyle name="스타일 3" xfId="159" xr:uid="{15D04E98-0B29-43CA-92A4-0A342389BC52}"/>
    <cellStyle name="스타일 4" xfId="160" xr:uid="{BB9E7A57-7156-4E7A-8EBF-6BBB525B49F1}"/>
    <cellStyle name="스타일 5" xfId="161" xr:uid="{84F7C63C-EF67-423B-8642-471846AA7E49}"/>
    <cellStyle name="스타일 6" xfId="162" xr:uid="{B5E59BC9-98BD-4662-8590-C80E7BE4EA7D}"/>
    <cellStyle name="안건회계법인" xfId="675" xr:uid="{886A5776-01CF-4F08-BB27-36C217CE2AC3}"/>
    <cellStyle name="일반" xfId="676" xr:uid="{CB9DCB14-6BB1-444D-86CF-C60C828A8482}"/>
    <cellStyle name="자리수" xfId="163" xr:uid="{AFD0D638-56CA-4EB0-947D-1949A0D832FA}"/>
    <cellStyle name="자리수 2" xfId="677" xr:uid="{5A750A3C-EC55-43D4-98CD-77B8DD0573D1}"/>
    <cellStyle name="자리수0" xfId="164" xr:uid="{601C3A30-2BCB-4B0F-B9A4-170B4D7113A7}"/>
    <cellStyle name="자리수0 2" xfId="678" xr:uid="{E120B01F-50C5-4B9C-B063-13ABB61C4DC7}"/>
    <cellStyle name="정렬" xfId="679" xr:uid="{10DB0FE4-346A-4D79-8AA1-280C7333D383}"/>
    <cellStyle name="정렬범위" xfId="680" xr:uid="{C684ECEB-7989-4DF9-89D2-F34D99C2A40A}"/>
    <cellStyle name="제목 1" xfId="2" builtinId="16"/>
    <cellStyle name="졇" xfId="165" xr:uid="{70E2E183-89DE-4A17-A076-9A9F1FD7CEED}"/>
    <cellStyle name="좁게_구조물 BOQ" xfId="166" xr:uid="{D2331BF9-55E1-4711-A17C-A9D81EE5F46B}"/>
    <cellStyle name="좋음 2" xfId="698" xr:uid="{9AE2A1CE-5AC2-4142-9ACA-A15654A2A99B}"/>
    <cellStyle name="지정되지 않음" xfId="681" xr:uid="{347D861A-A96B-4C25-9E1F-157EC40AD4D7}"/>
    <cellStyle name="지하철정렬" xfId="682" xr:uid="{C6FDA978-FF85-478E-BE3C-9C285A1C9A3D}"/>
    <cellStyle name="콤마 [0]_  종  합  " xfId="167" xr:uid="{43C348F6-2FC0-42C8-994D-7753B850A6E8}"/>
    <cellStyle name="콤마 [2]" xfId="683" xr:uid="{83C16257-264B-41A0-A6A4-D5074A8731DC}"/>
    <cellStyle name="콤마 [3]" xfId="684" xr:uid="{BD974010-2908-4109-A7BD-8660D7065CE4}"/>
    <cellStyle name="콤마[ ]" xfId="685" xr:uid="{79D42A37-A216-4219-9AA0-B52C37AC3FD2}"/>
    <cellStyle name="콤마[*]" xfId="686" xr:uid="{8C7FF289-8141-4411-9A3F-2F063233AC9D}"/>
    <cellStyle name="콤마[.]" xfId="687" xr:uid="{7359038F-5956-425E-9A6B-2CA2D5EB4CE6}"/>
    <cellStyle name="콤마[0]" xfId="688" xr:uid="{052A463D-7D92-4D65-9D7C-5DDB5F595816}"/>
    <cellStyle name="콤마_  종  합  " xfId="168" xr:uid="{3F2745E8-2C20-4DA0-AE9B-41EEBC41E5EF}"/>
    <cellStyle name="통?=" xfId="169" xr:uid="{8A7D3638-6A71-49FA-86B2-80ACBF7852B6}"/>
    <cellStyle name="통화 [0]" xfId="1" builtinId="7"/>
    <cellStyle name="통화 [0㉝〸" xfId="170" xr:uid="{0D286CFF-164E-48BA-BECA-878C24E53FF6}"/>
    <cellStyle name="퍼센트" xfId="171" xr:uid="{7C52E441-BC33-4DCF-BD01-1FF925D20BA4}"/>
    <cellStyle name="퍼센트 2" xfId="689" xr:uid="{AA559F87-4503-46D4-A07A-6B0B7CDAB625}"/>
    <cellStyle name="표" xfId="172" xr:uid="{AECBB238-8E0C-465C-8C81-068AF63773A0}"/>
    <cellStyle name="표준" xfId="0" builtinId="0"/>
    <cellStyle name="표준 2" xfId="4" xr:uid="{01D602ED-DAE2-4D1D-9FB4-1594A76A6014}"/>
    <cellStyle name="표준 2 2" xfId="173" xr:uid="{296B496B-9F51-4056-AE89-F6629394CAAA}"/>
    <cellStyle name="표준 2 3" xfId="697" xr:uid="{D021EADC-0E28-4FFA-9BF8-32C90FAF21AC}"/>
    <cellStyle name="표준 26" xfId="690" xr:uid="{69E8F7A6-1BBB-477D-81C5-08199B6AFE33}"/>
    <cellStyle name="표준 3" xfId="174" xr:uid="{336A97E4-2385-4846-8271-814688DEFF78}"/>
    <cellStyle name="표준 4_휀스 실정보고" xfId="175" xr:uid="{0AB6E065-01AF-4140-B745-795381C49AD2}"/>
    <cellStyle name="표준 6 2" xfId="691" xr:uid="{B8A142B0-66E1-4EC0-B15E-0F5F17754EFB}"/>
    <cellStyle name="표준 7" xfId="692" xr:uid="{FB865882-C2C7-47BC-A79B-7E8F0533D22D}"/>
    <cellStyle name="標準_Akia(F）-8" xfId="176" xr:uid="{A0D35E4D-2857-40C7-9AC0-E2ED8CE96964}"/>
    <cellStyle name="하이퍼링크" xfId="3" builtinId="8"/>
    <cellStyle name="합산" xfId="177" xr:uid="{8F2974FD-534D-4A8F-BD24-025C55B102FC}"/>
    <cellStyle name="호표" xfId="693" xr:uid="{D8DED5FF-D3FB-4609-8CA3-9990476928BD}"/>
    <cellStyle name="화폐기호" xfId="178" xr:uid="{B66F23D3-108C-444D-AD7A-9357764245B8}"/>
    <cellStyle name="화폐기호 2" xfId="694" xr:uid="{371BDB04-6783-41B0-AC7E-C5A64B7E33EF}"/>
    <cellStyle name="화폐기호0" xfId="179" xr:uid="{CD75A9A1-3AAF-43BE-A008-FE113D2376B0}"/>
    <cellStyle name="화폐기호0 2" xfId="695" xr:uid="{0F4B7A72-EF0B-44F2-BA46-C63C049CFC69}"/>
  </cellStyles>
  <dxfs count="4"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7CC1F0"/>
      <color rgb="FFFFB7B7"/>
      <color rgb="FFF7CDFB"/>
      <color rgb="FFE3FDF1"/>
      <color rgb="FFECCD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2b.go.kr/index.jsp" TargetMode="External"/><Relationship Id="rId2" Type="http://schemas.openxmlformats.org/officeDocument/2006/relationships/hyperlink" Target="https://www.igunsul.net/" TargetMode="External"/><Relationship Id="rId1" Type="http://schemas.openxmlformats.org/officeDocument/2006/relationships/hyperlink" Target="https://www.pps.go.kr/kor/bbs/list.do?key=00641" TargetMode="External"/><Relationship Id="rId4" Type="http://schemas.openxmlformats.org/officeDocument/2006/relationships/hyperlink" Target="http://www.assi.or.kr/sub/board/gongji.asp?boardname=gongji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571499</xdr:colOff>
      <xdr:row>2</xdr:row>
      <xdr:rowOff>258536</xdr:rowOff>
    </xdr:from>
    <xdr:to>
      <xdr:col>14</xdr:col>
      <xdr:colOff>1061356</xdr:colOff>
      <xdr:row>3</xdr:row>
      <xdr:rowOff>244929</xdr:rowOff>
    </xdr:to>
    <xdr:sp macro="" textlink="">
      <xdr:nvSpPr>
        <xdr:cNvPr id="3" name="순서도: 연결자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BE7A50-39C4-4DBC-AC7D-51F2DCFF491E}"/>
            </a:ext>
          </a:extLst>
        </xdr:cNvPr>
        <xdr:cNvSpPr/>
      </xdr:nvSpPr>
      <xdr:spPr>
        <a:xfrm>
          <a:off x="25064356" y="1768929"/>
          <a:ext cx="489857" cy="489857"/>
        </a:xfrm>
        <a:prstGeom prst="flowChartConnector">
          <a:avLst/>
        </a:prstGeom>
        <a:solidFill>
          <a:schemeClr val="accent2">
            <a:lumMod val="60000"/>
            <a:lumOff val="40000"/>
          </a:schemeClr>
        </a:solidFill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557891</xdr:colOff>
      <xdr:row>2</xdr:row>
      <xdr:rowOff>258536</xdr:rowOff>
    </xdr:from>
    <xdr:to>
      <xdr:col>15</xdr:col>
      <xdr:colOff>1047748</xdr:colOff>
      <xdr:row>3</xdr:row>
      <xdr:rowOff>244929</xdr:rowOff>
    </xdr:to>
    <xdr:sp macro="" textlink="">
      <xdr:nvSpPr>
        <xdr:cNvPr id="5" name="순서도: 연결자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35B93F-B2E8-4E8D-AB21-C3BE223038FA}"/>
            </a:ext>
          </a:extLst>
        </xdr:cNvPr>
        <xdr:cNvSpPr/>
      </xdr:nvSpPr>
      <xdr:spPr>
        <a:xfrm>
          <a:off x="26629177" y="1768929"/>
          <a:ext cx="489857" cy="489857"/>
        </a:xfrm>
        <a:prstGeom prst="flowChartConnector">
          <a:avLst/>
        </a:prstGeom>
        <a:solidFill>
          <a:schemeClr val="accent4">
            <a:lumMod val="40000"/>
            <a:lumOff val="60000"/>
          </a:schemeClr>
        </a:solidFill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571499</xdr:colOff>
      <xdr:row>2</xdr:row>
      <xdr:rowOff>258536</xdr:rowOff>
    </xdr:from>
    <xdr:to>
      <xdr:col>16</xdr:col>
      <xdr:colOff>1061356</xdr:colOff>
      <xdr:row>3</xdr:row>
      <xdr:rowOff>244929</xdr:rowOff>
    </xdr:to>
    <xdr:sp macro="" textlink="">
      <xdr:nvSpPr>
        <xdr:cNvPr id="6" name="순서도: 연결자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722ED3-A8B0-407B-A336-669FD9C34083}"/>
            </a:ext>
          </a:extLst>
        </xdr:cNvPr>
        <xdr:cNvSpPr/>
      </xdr:nvSpPr>
      <xdr:spPr>
        <a:xfrm>
          <a:off x="28221213" y="1768929"/>
          <a:ext cx="489857" cy="489857"/>
        </a:xfrm>
        <a:prstGeom prst="flowChartConnector">
          <a:avLst/>
        </a:prstGeom>
        <a:solidFill>
          <a:schemeClr val="accent6">
            <a:lumMod val="40000"/>
            <a:lumOff val="60000"/>
          </a:schemeClr>
        </a:solidFill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557891</xdr:colOff>
      <xdr:row>2</xdr:row>
      <xdr:rowOff>258536</xdr:rowOff>
    </xdr:from>
    <xdr:to>
      <xdr:col>13</xdr:col>
      <xdr:colOff>1047748</xdr:colOff>
      <xdr:row>3</xdr:row>
      <xdr:rowOff>244929</xdr:rowOff>
    </xdr:to>
    <xdr:sp macro="" textlink="">
      <xdr:nvSpPr>
        <xdr:cNvPr id="7" name="순서도: 연결자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E907362-917B-4B4A-93D1-F2A9361DAF30}"/>
            </a:ext>
          </a:extLst>
        </xdr:cNvPr>
        <xdr:cNvSpPr/>
      </xdr:nvSpPr>
      <xdr:spPr>
        <a:xfrm>
          <a:off x="23472320" y="1768929"/>
          <a:ext cx="489857" cy="489857"/>
        </a:xfrm>
        <a:prstGeom prst="flowChartConnector">
          <a:avLst/>
        </a:prstGeom>
        <a:solidFill>
          <a:srgbClr val="FFB7B7"/>
        </a:solidFill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18</xdr:col>
      <xdr:colOff>1552575</xdr:colOff>
      <xdr:row>0</xdr:row>
      <xdr:rowOff>66675</xdr:rowOff>
    </xdr:from>
    <xdr:ext cx="2042547" cy="44704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A76F672-4054-4273-8AFD-4962CC495F3B}"/>
            </a:ext>
          </a:extLst>
        </xdr:cNvPr>
        <xdr:cNvSpPr txBox="1"/>
      </xdr:nvSpPr>
      <xdr:spPr>
        <a:xfrm>
          <a:off x="33651825" y="66675"/>
          <a:ext cx="2042547" cy="447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600" b="1">
              <a:latin typeface="+mn-ea"/>
              <a:ea typeface="+mn-ea"/>
            </a:rPr>
            <a:t>필터</a:t>
          </a:r>
          <a:r>
            <a:rPr lang="ko-KR" altLang="en-US" sz="1600" b="1" baseline="0">
              <a:latin typeface="+mn-ea"/>
              <a:ea typeface="+mn-ea"/>
            </a:rPr>
            <a:t> 기능 사용 가능</a:t>
          </a:r>
          <a:endParaRPr lang="en-US" altLang="ko-KR" sz="1600" b="1" baseline="0">
            <a:latin typeface="+mn-ea"/>
            <a:ea typeface="+mn-ea"/>
          </a:endParaRPr>
        </a:p>
      </xdr:txBody>
    </xdr:sp>
    <xdr:clientData/>
  </xdr:oneCellAnchor>
  <xdr:oneCellAnchor>
    <xdr:from>
      <xdr:col>0</xdr:col>
      <xdr:colOff>742950</xdr:colOff>
      <xdr:row>0</xdr:row>
      <xdr:rowOff>47625</xdr:rowOff>
    </xdr:from>
    <xdr:ext cx="595035" cy="44704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D2A9CA4-68C7-469E-8F82-FF698FA351BA}"/>
            </a:ext>
          </a:extLst>
        </xdr:cNvPr>
        <xdr:cNvSpPr txBox="1"/>
      </xdr:nvSpPr>
      <xdr:spPr>
        <a:xfrm>
          <a:off x="742950" y="47625"/>
          <a:ext cx="595035" cy="447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600" b="1">
              <a:latin typeface="+mn-ea"/>
              <a:ea typeface="+mn-ea"/>
            </a:rPr>
            <a:t>원본</a:t>
          </a:r>
          <a:endParaRPr lang="en-US" altLang="ko-KR" sz="1600" b="1" baseline="0">
            <a:latin typeface="+mn-ea"/>
            <a:ea typeface="+mn-ea"/>
          </a:endParaRPr>
        </a:p>
      </xdr:txBody>
    </xdr:sp>
    <xdr:clientData/>
  </xdr:oneCellAnchor>
  <xdr:oneCellAnchor>
    <xdr:from>
      <xdr:col>12</xdr:col>
      <xdr:colOff>1469572</xdr:colOff>
      <xdr:row>9</xdr:row>
      <xdr:rowOff>13607</xdr:rowOff>
    </xdr:from>
    <xdr:ext cx="1487908" cy="44704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8B08550-D11A-4016-86CF-06585D0A80A5}"/>
            </a:ext>
          </a:extLst>
        </xdr:cNvPr>
        <xdr:cNvSpPr txBox="1"/>
      </xdr:nvSpPr>
      <xdr:spPr>
        <a:xfrm>
          <a:off x="24220715" y="4544786"/>
          <a:ext cx="1487908" cy="447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600" b="1" baseline="0">
              <a:latin typeface="+mn-ea"/>
              <a:ea typeface="+mn-ea"/>
            </a:rPr>
            <a:t>모니터링 대상</a:t>
          </a:r>
          <a:endParaRPr lang="en-US" altLang="ko-KR" sz="1600" b="1" baseline="0">
            <a:latin typeface="+mn-ea"/>
            <a:ea typeface="+mn-ea"/>
          </a:endParaRPr>
        </a:p>
      </xdr:txBody>
    </xdr:sp>
    <xdr:clientData/>
  </xdr:oneCellAnchor>
  <xdr:oneCellAnchor>
    <xdr:from>
      <xdr:col>12</xdr:col>
      <xdr:colOff>1469572</xdr:colOff>
      <xdr:row>0</xdr:row>
      <xdr:rowOff>81643</xdr:rowOff>
    </xdr:from>
    <xdr:ext cx="2380780" cy="44704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BEB2F1F-171F-4893-A948-395B9F88DD46}"/>
            </a:ext>
          </a:extLst>
        </xdr:cNvPr>
        <xdr:cNvSpPr txBox="1"/>
      </xdr:nvSpPr>
      <xdr:spPr>
        <a:xfrm>
          <a:off x="24220715" y="81643"/>
          <a:ext cx="2380780" cy="447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600" b="1" baseline="0">
              <a:latin typeface="+mn-ea"/>
              <a:ea typeface="+mn-ea"/>
            </a:rPr>
            <a:t>종합 홈페이지 바로가기</a:t>
          </a:r>
          <a:endParaRPr lang="en-US" altLang="ko-KR" sz="1600" b="1" baseline="0">
            <a:latin typeface="+mn-ea"/>
            <a:ea typeface="+mn-ea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bid.kwater.or.kr/wq/index.do?w2xPath=%2fui%2findex.xml" TargetMode="External"/><Relationship Id="rId21" Type="http://schemas.openxmlformats.org/officeDocument/2006/relationships/hyperlink" Target="https://www.molit.go.kr/brocm/USR/BORD0201/m_20654/LST.jsp" TargetMode="External"/><Relationship Id="rId42" Type="http://schemas.openxmlformats.org/officeDocument/2006/relationships/hyperlink" Target="https://www.seosan.go.kr/www/contents.do?key=1258" TargetMode="External"/><Relationship Id="rId47" Type="http://schemas.openxmlformats.org/officeDocument/2006/relationships/hyperlink" Target="https://gyeryong.go.kr/kr/html/sub03/030102.html" TargetMode="External"/><Relationship Id="rId63" Type="http://schemas.openxmlformats.org/officeDocument/2006/relationships/hyperlink" Target="https://www.nonsan.go.kr/kor/html/sub03/030102.html" TargetMode="External"/><Relationship Id="rId68" Type="http://schemas.openxmlformats.org/officeDocument/2006/relationships/hyperlink" Target="https://bid.kogas.or.kr:9443/supplier/index.jsp" TargetMode="External"/><Relationship Id="rId84" Type="http://schemas.openxmlformats.org/officeDocument/2006/relationships/vmlDrawing" Target="../drawings/vmlDrawing1.vml"/><Relationship Id="rId16" Type="http://schemas.openxmlformats.org/officeDocument/2006/relationships/hyperlink" Target="https://www.daedeok.go.kr/dpt/dpt04/DPT040204_cmmBoardList.do" TargetMode="External"/><Relationship Id="rId11" Type="http://schemas.openxmlformats.org/officeDocument/2006/relationships/hyperlink" Target="https://www.koenergy.kr/kosep/fr/bo/board/main.do?menuCd=FN05020101" TargetMode="External"/><Relationship Id="rId32" Type="http://schemas.openxmlformats.org/officeDocument/2006/relationships/hyperlink" Target="https://www.asan.go.kr/main/cms/?no=257" TargetMode="External"/><Relationship Id="rId37" Type="http://schemas.openxmlformats.org/officeDocument/2006/relationships/hyperlink" Target="https://pohang.mof.go.kr/ko/board.do?menuIdx=2849" TargetMode="External"/><Relationship Id="rId53" Type="http://schemas.openxmlformats.org/officeDocument/2006/relationships/hyperlink" Target="https://mokpo.mof.go.kr/ko/board.do?menuIdx=1312" TargetMode="External"/><Relationship Id="rId58" Type="http://schemas.openxmlformats.org/officeDocument/2006/relationships/hyperlink" Target="https://www.buyeo.go.kr/html/kr/news/news_040202.html" TargetMode="External"/><Relationship Id="rId74" Type="http://schemas.openxmlformats.org/officeDocument/2006/relationships/hyperlink" Target="https://www.molit.go.kr/drocm/USR/BORD0201/m_20242/LST.jsp" TargetMode="External"/><Relationship Id="rId79" Type="http://schemas.openxmlformats.org/officeDocument/2006/relationships/hyperlink" Target="https://www.forest.go.kr/kfsweb/cop/bbs/selectBoardList.do?bbsId=BBSMSTR_1032&amp;mn=NKFS_04_01_02" TargetMode="External"/><Relationship Id="rId5" Type="http://schemas.openxmlformats.org/officeDocument/2006/relationships/hyperlink" Target="https://www.gwangju.go.kr/contentsView.do?pageId=www791" TargetMode="External"/><Relationship Id="rId19" Type="http://schemas.openxmlformats.org/officeDocument/2006/relationships/hyperlink" Target="http://www.molit.go.kr/drocm/USR/BORD0201/m_20474/LST.jsp" TargetMode="External"/><Relationship Id="rId14" Type="http://schemas.openxmlformats.org/officeDocument/2006/relationships/hyperlink" Target="https://www.dcco.kr/web/board/list.do?mId=113&amp;keyField=subject&amp;key=" TargetMode="External"/><Relationship Id="rId22" Type="http://schemas.openxmlformats.org/officeDocument/2006/relationships/hyperlink" Target="https://www.molit.go.kr/brocm/USR/BORD0201/m_15109/BRD.jsp" TargetMode="External"/><Relationship Id="rId27" Type="http://schemas.openxmlformats.org/officeDocument/2006/relationships/hyperlink" Target="https://www.koem.or.kr/site/koem/ex/board/List.do?cbIdx=236" TargetMode="External"/><Relationship Id="rId30" Type="http://schemas.openxmlformats.org/officeDocument/2006/relationships/hyperlink" Target="https://www.sdco.or.kr/board.es?mid=a10601020000&amp;bid=0007" TargetMode="External"/><Relationship Id="rId35" Type="http://schemas.openxmlformats.org/officeDocument/2006/relationships/hyperlink" Target="https://ebiz.khnp.co.kr/login.do" TargetMode="External"/><Relationship Id="rId43" Type="http://schemas.openxmlformats.org/officeDocument/2006/relationships/hyperlink" Target="https://www.djjunggu.go.kr/prog/saeolGosi/GOSI/sub03_06/list.do" TargetMode="External"/><Relationship Id="rId48" Type="http://schemas.openxmlformats.org/officeDocument/2006/relationships/hyperlink" Target="https://www.taean.go.kr/kor/sub02_03_01.do" TargetMode="External"/><Relationship Id="rId56" Type="http://schemas.openxmlformats.org/officeDocument/2006/relationships/hyperlink" Target="https://www.cheonan.go.kr/prog/saeolGosi/GOSI/kor/sub02_02_01/list.do" TargetMode="External"/><Relationship Id="rId64" Type="http://schemas.openxmlformats.org/officeDocument/2006/relationships/hyperlink" Target="http://www.me.go.kr/gg/web/board/list.do?menuId=2284&amp;boardMasterId=235&amp;boardCategoryId=&amp;maxIndexPages=10&amp;condition.hideCate=&amp;condition.createId=&amp;decorator=&amp;condition.proxyParam1=&amp;condition.proxyParam2=&amp;condition.proxyParam3=&amp;proxyListPath=&amp;proxyReadPath=&amp;searchKey=title&amp;searchValue=&amp;condition.fromDate=&amp;picker_year=2024&amp;picker_month=7&amp;condition.toDate=&amp;picker_year=2024&amp;picker_month=7" TargetMode="External"/><Relationship Id="rId69" Type="http://schemas.openxmlformats.org/officeDocument/2006/relationships/hyperlink" Target="https://busan.mof.go.kr/ko/board.do?menuIdx=4469" TargetMode="External"/><Relationship Id="rId77" Type="http://schemas.openxmlformats.org/officeDocument/2006/relationships/hyperlink" Target="https://www.dangjin.go.kr/kor/sub03_02_01_01.do" TargetMode="External"/><Relationship Id="rId8" Type="http://schemas.openxmlformats.org/officeDocument/2006/relationships/hyperlink" Target="https://www.hongseong.go.kr/prog/saeolGosi/kor/sub03_0204/GOSI_ALL/list.do" TargetMode="External"/><Relationship Id="rId51" Type="http://schemas.openxmlformats.org/officeDocument/2006/relationships/hyperlink" Target="https://www.kamco.or.kr/portal/bbs/list.do?ptIdx=380&amp;mId=0701010000" TargetMode="External"/><Relationship Id="rId72" Type="http://schemas.openxmlformats.org/officeDocument/2006/relationships/hyperlink" Target="https://ebid.lh.or.kr/ebid.com.cmd.MainCmd.dev" TargetMode="External"/><Relationship Id="rId80" Type="http://schemas.openxmlformats.org/officeDocument/2006/relationships/hyperlink" Target="https://www.geumsan.go.kr/kr/html/sub03/030302.html" TargetMode="External"/><Relationship Id="rId85" Type="http://schemas.openxmlformats.org/officeDocument/2006/relationships/comments" Target="../comments1.xml"/><Relationship Id="rId3" Type="http://schemas.openxmlformats.org/officeDocument/2006/relationships/hyperlink" Target="http://www.molit.go.kr/drocm/USR/BORD0201/m_16064/BRD.jsp" TargetMode="External"/><Relationship Id="rId12" Type="http://schemas.openxmlformats.org/officeDocument/2006/relationships/hyperlink" Target="https://www.sctc.kr/bbs/BBSS2110052039540671" TargetMode="External"/><Relationship Id="rId17" Type="http://schemas.openxmlformats.org/officeDocument/2006/relationships/hyperlink" Target="http://www.me.go.kr/hg/web/index.do?menuId=1255" TargetMode="External"/><Relationship Id="rId25" Type="http://schemas.openxmlformats.org/officeDocument/2006/relationships/hyperlink" Target="https://www.kwater.or.kr/news/sub01/noti01List.do?s_mid=105&amp;brdId=KO27" TargetMode="External"/><Relationship Id="rId33" Type="http://schemas.openxmlformats.org/officeDocument/2006/relationships/hyperlink" Target="https://ebid.ex.co.kr/default.do" TargetMode="External"/><Relationship Id="rId38" Type="http://schemas.openxmlformats.org/officeDocument/2006/relationships/hyperlink" Target="https://www.fipa.or.kr/fipa/bbs/i-326/list.do" TargetMode="External"/><Relationship Id="rId46" Type="http://schemas.openxmlformats.org/officeDocument/2006/relationships/hyperlink" Target="https://www.icpa.or.kr/article/list.do?menuKey=397&amp;boardKey=213" TargetMode="External"/><Relationship Id="rId59" Type="http://schemas.openxmlformats.org/officeDocument/2006/relationships/hyperlink" Target="https://www.seocheon.go.kr/kor/sub04_06_03.do" TargetMode="External"/><Relationship Id="rId67" Type="http://schemas.openxmlformats.org/officeDocument/2006/relationships/hyperlink" Target="https://www.kogas.or.kr/site/koGas/goBoard.do?boardNo=6&amp;Key=1010201000000" TargetMode="External"/><Relationship Id="rId20" Type="http://schemas.openxmlformats.org/officeDocument/2006/relationships/hyperlink" Target="https://me.go.kr/wonju/web/index.do?menuId=1050" TargetMode="External"/><Relationship Id="rId41" Type="http://schemas.openxmlformats.org/officeDocument/2006/relationships/hyperlink" Target="https://masan.mof.go.kr/ko/board.do?menuIdx=3676" TargetMode="External"/><Relationship Id="rId54" Type="http://schemas.openxmlformats.org/officeDocument/2006/relationships/hyperlink" Target="https://gunsan.mof.go.kr/ko/board.do?menuIdx=1111" TargetMode="External"/><Relationship Id="rId62" Type="http://schemas.openxmlformats.org/officeDocument/2006/relationships/hyperlink" Target="https://www.molit.go.kr/brocm/USR/WPGE0201/m_21030/DTL.jsp" TargetMode="External"/><Relationship Id="rId70" Type="http://schemas.openxmlformats.org/officeDocument/2006/relationships/hyperlink" Target="https://www.ygpa.or.kr/hmpg/ygpa/comu/anno/bordContListPage.do?bbs_no=275" TargetMode="External"/><Relationship Id="rId75" Type="http://schemas.openxmlformats.org/officeDocument/2006/relationships/hyperlink" Target="https://new.kpx.or.kr/board.es?mid=a11201000000&amp;bid=0042" TargetMode="External"/><Relationship Id="rId83" Type="http://schemas.openxmlformats.org/officeDocument/2006/relationships/drawing" Target="../drawings/drawing1.xml"/><Relationship Id="rId1" Type="http://schemas.openxmlformats.org/officeDocument/2006/relationships/hyperlink" Target="https://www.add.re.kr/board?menuId=MENU02198&amp;siteId=SITE00002" TargetMode="External"/><Relationship Id="rId6" Type="http://schemas.openxmlformats.org/officeDocument/2006/relationships/hyperlink" Target="https://www.sejong.go.kr/prog/publicNotice/kor/sub02_0303/C1/list.do" TargetMode="External"/><Relationship Id="rId15" Type="http://schemas.openxmlformats.org/officeDocument/2006/relationships/hyperlink" Target="https://www.seogu.go.kr/prog/saeolGosi/GOSI/kor/sub04_02_01/list.do" TargetMode="External"/><Relationship Id="rId23" Type="http://schemas.openxmlformats.org/officeDocument/2006/relationships/hyperlink" Target="http://www.me.go.kr/ndg/web/index.do?menuId=3283" TargetMode="External"/><Relationship Id="rId28" Type="http://schemas.openxmlformats.org/officeDocument/2006/relationships/hyperlink" Target="https://www.djtc.kr/kor/index.do" TargetMode="External"/><Relationship Id="rId36" Type="http://schemas.openxmlformats.org/officeDocument/2006/relationships/hyperlink" Target="https://www.dia.mil.kr/dia/4459/subview.do" TargetMode="External"/><Relationship Id="rId49" Type="http://schemas.openxmlformats.org/officeDocument/2006/relationships/hyperlink" Target="https://www.yesan.go.kr/prog/saeolGosi/GOSI/kor/sub04_03_01/list.do" TargetMode="External"/><Relationship Id="rId57" Type="http://schemas.openxmlformats.org/officeDocument/2006/relationships/hyperlink" Target="https://www.lh.or.kr/board.es?mid=a10601020000&amp;bid=0034" TargetMode="External"/><Relationship Id="rId10" Type="http://schemas.openxmlformats.org/officeDocument/2006/relationships/hyperlink" Target="https://www.donggu.go.kr/dg/kor/contents/914" TargetMode="External"/><Relationship Id="rId31" Type="http://schemas.openxmlformats.org/officeDocument/2006/relationships/hyperlink" Target="https://www.kr.or.kr/boardCnts/list.do?boardID=51" TargetMode="External"/><Relationship Id="rId44" Type="http://schemas.openxmlformats.org/officeDocument/2006/relationships/hyperlink" Target="https://pyeongtaek.mof.go.kr/ko/board.do?menuIdx=2122" TargetMode="External"/><Relationship Id="rId52" Type="http://schemas.openxmlformats.org/officeDocument/2006/relationships/hyperlink" Target="https://www.yuseong.go.kr/prog/saeolGosi/GOSI/kor/sub04_02_01/list.do" TargetMode="External"/><Relationship Id="rId60" Type="http://schemas.openxmlformats.org/officeDocument/2006/relationships/hyperlink" Target="https://www.brcn.go.kr/prog/eminwon/kor/BB/sub04_03_01/list.do" TargetMode="External"/><Relationship Id="rId65" Type="http://schemas.openxmlformats.org/officeDocument/2006/relationships/hyperlink" Target="https://www.kcg.go.kr/kcg/main.do" TargetMode="External"/><Relationship Id="rId73" Type="http://schemas.openxmlformats.org/officeDocument/2006/relationships/hyperlink" Target="https://srm.kepco.net/mdi.do" TargetMode="External"/><Relationship Id="rId78" Type="http://schemas.openxmlformats.org/officeDocument/2006/relationships/hyperlink" Target="https://www.chungju.go.kr/www/selectEminwonList.do?key=510&amp;ofr_pageSize=10&amp;ancmt_se_code=01,02,04&amp;pageIndex=1" TargetMode="External"/><Relationship Id="rId81" Type="http://schemas.openxmlformats.org/officeDocument/2006/relationships/hyperlink" Target="https://www.saemangeum.go.kr/sda/brd/list.do?key=2009075580577" TargetMode="External"/><Relationship Id="rId4" Type="http://schemas.openxmlformats.org/officeDocument/2006/relationships/hyperlink" Target="https://donghae.mof.go.kr/ko/board.do?menuIdx=2540" TargetMode="External"/><Relationship Id="rId9" Type="http://schemas.openxmlformats.org/officeDocument/2006/relationships/hyperlink" Target="http://me.go.kr/ysg/web/index.do?menuId=4284" TargetMode="External"/><Relationship Id="rId13" Type="http://schemas.openxmlformats.org/officeDocument/2006/relationships/hyperlink" Target="https://daejeon.go.kr/drh/drhGosiList.do?gosigbn=A&amp;menuSeq=1908" TargetMode="External"/><Relationship Id="rId18" Type="http://schemas.openxmlformats.org/officeDocument/2006/relationships/hyperlink" Target="http://www.molit.go.kr/srocm/USR/BORD0201/m_13078/BRD.jsp" TargetMode="External"/><Relationship Id="rId39" Type="http://schemas.openxmlformats.org/officeDocument/2006/relationships/hyperlink" Target="https://incheon.mof.go.kr/ko/board.do?menuIdx=1689" TargetMode="External"/><Relationship Id="rId34" Type="http://schemas.openxmlformats.org/officeDocument/2006/relationships/hyperlink" Target="http://ebid.airport.kr/" TargetMode="External"/><Relationship Id="rId50" Type="http://schemas.openxmlformats.org/officeDocument/2006/relationships/hyperlink" Target="https://www.cheongyang.go.kr/kor/sub04_02_03.do" TargetMode="External"/><Relationship Id="rId55" Type="http://schemas.openxmlformats.org/officeDocument/2006/relationships/hyperlink" Target="https://info.korail.com/info/selectBbsNttList.do?bbsNo=200&amp;key=910" TargetMode="External"/><Relationship Id="rId76" Type="http://schemas.openxmlformats.org/officeDocument/2006/relationships/hyperlink" Target="https://www.molit.go.kr/irocm/USR/BORD0201/m_19805/LST.jsp" TargetMode="External"/><Relationship Id="rId7" Type="http://schemas.openxmlformats.org/officeDocument/2006/relationships/hyperlink" Target="http://www.molit.go.kr/wrocm/USR/BORD0201/m_15959/BRD.jsp" TargetMode="External"/><Relationship Id="rId71" Type="http://schemas.openxmlformats.org/officeDocument/2006/relationships/hyperlink" Target="https://www.hscity.go.kr/www/gosi/BD_selectGosiList.do?q_cp=&amp;q_notAncmtSeCode=04&amp;q_notAncmtMgtNo=&amp;q_sc=&amp;q_depNm=&amp;q_sv=&amp;q_rowPerPage=10&amp;q_currPage=1&amp;q_sortName=&amp;q_sortOrder=" TargetMode="External"/><Relationship Id="rId2" Type="http://schemas.openxmlformats.org/officeDocument/2006/relationships/hyperlink" Target="https://www.gongju.go.kr/prog/saeolGosi/GOSI_03/sub04_03_03/list.do" TargetMode="External"/><Relationship Id="rId29" Type="http://schemas.openxmlformats.org/officeDocument/2006/relationships/hyperlink" Target="https://www.airport.co.kr/www/cms/FrCon/index.do?MENU_ID=1100" TargetMode="External"/><Relationship Id="rId24" Type="http://schemas.openxmlformats.org/officeDocument/2006/relationships/hyperlink" Target="https://www.keco.or.kr/web/lay1/bbs/S1T10C108/A/18/list.do" TargetMode="External"/><Relationship Id="rId40" Type="http://schemas.openxmlformats.org/officeDocument/2006/relationships/hyperlink" Target="https://yeosu.mof.go.kr/ko/board.do?menuIdx=3808" TargetMode="External"/><Relationship Id="rId45" Type="http://schemas.openxmlformats.org/officeDocument/2006/relationships/hyperlink" Target="https://daesan.mof.go.kr/ko/board.do?menuIdx=3016" TargetMode="External"/><Relationship Id="rId66" Type="http://schemas.openxmlformats.org/officeDocument/2006/relationships/hyperlink" Target="https://ulsan.mof.go.kr/ko/board.do?menuIdx=871" TargetMode="External"/><Relationship Id="rId61" Type="http://schemas.openxmlformats.org/officeDocument/2006/relationships/hyperlink" Target="http://www.molit.go.kr/irocm/USR/BORD0201/m_15643/BRD.jsp" TargetMode="External"/><Relationship Id="rId82" Type="http://schemas.openxmlformats.org/officeDocument/2006/relationships/hyperlink" Target="https://www.ekr.or.kr/planweb/board/list.krc?contentUid=402880317cc0644a017cc0c9da9f0120&amp;boardUid=402880317cc0644a017cc5e8000f06b7&amp;contentUid=402880317cc0644a017cc0c9da9f0120&amp;subPath=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keco.or.kr/web/lay1/bbs/S1T10C108/A/18/list.do" TargetMode="External"/><Relationship Id="rId21" Type="http://schemas.openxmlformats.org/officeDocument/2006/relationships/hyperlink" Target="http://www.molit.go.kr/drocm/USR/BORD0201/m_20474/LST.jsp" TargetMode="External"/><Relationship Id="rId42" Type="http://schemas.openxmlformats.org/officeDocument/2006/relationships/hyperlink" Target="https://yeosu.mof.go.kr/ko/board.do?menuIdx=3808" TargetMode="External"/><Relationship Id="rId47" Type="http://schemas.openxmlformats.org/officeDocument/2006/relationships/hyperlink" Target="https://pyeongtaek.mof.go.kr/ko/board.do?menuIdx=2122" TargetMode="External"/><Relationship Id="rId63" Type="http://schemas.openxmlformats.org/officeDocument/2006/relationships/hyperlink" Target="https://www.seocheon.go.kr/kor/sub04_06_03.do" TargetMode="External"/><Relationship Id="rId68" Type="http://schemas.openxmlformats.org/officeDocument/2006/relationships/hyperlink" Target="https://www.pps.go.kr/kor/bbs/list.do?key=00641" TargetMode="External"/><Relationship Id="rId84" Type="http://schemas.openxmlformats.org/officeDocument/2006/relationships/hyperlink" Target="https://www.forest.go.kr/kfsweb/cop/bbs/selectBoardList.do?bbsId=BBSMSTR_1032&amp;mn=NKFS_04_01_02" TargetMode="External"/><Relationship Id="rId16" Type="http://schemas.openxmlformats.org/officeDocument/2006/relationships/hyperlink" Target="https://www.seogu.go.kr/prog/saeolGosi/GOSI/kor/sub04_02_01/list.do" TargetMode="External"/><Relationship Id="rId11" Type="http://schemas.openxmlformats.org/officeDocument/2006/relationships/hyperlink" Target="https://www.donggu.go.kr/dg/kor/contents/914" TargetMode="External"/><Relationship Id="rId32" Type="http://schemas.openxmlformats.org/officeDocument/2006/relationships/hyperlink" Target="https://www.sdco.or.kr/board.es?mid=a10601020000&amp;bid=0007" TargetMode="External"/><Relationship Id="rId37" Type="http://schemas.openxmlformats.org/officeDocument/2006/relationships/hyperlink" Target="https://ebiz.khnp.co.kr/login.do" TargetMode="External"/><Relationship Id="rId53" Type="http://schemas.openxmlformats.org/officeDocument/2006/relationships/hyperlink" Target="https://www.cheongyang.go.kr/kor/sub04_02_03.do" TargetMode="External"/><Relationship Id="rId58" Type="http://schemas.openxmlformats.org/officeDocument/2006/relationships/hyperlink" Target="https://info.korail.com/info/selectBbsNttList.do?bbsNo=200&amp;key=910" TargetMode="External"/><Relationship Id="rId74" Type="http://schemas.openxmlformats.org/officeDocument/2006/relationships/hyperlink" Target="https://busan.mof.go.kr/ko/board.do?menuIdx=4469" TargetMode="External"/><Relationship Id="rId79" Type="http://schemas.openxmlformats.org/officeDocument/2006/relationships/hyperlink" Target="https://www.molit.go.kr/drocm/USR/BORD0201/m_20242/LST.jsp" TargetMode="External"/><Relationship Id="rId5" Type="http://schemas.openxmlformats.org/officeDocument/2006/relationships/hyperlink" Target="http://www.assi.or.kr/sub/board/gongji.asp?boardname=gongji" TargetMode="External"/><Relationship Id="rId19" Type="http://schemas.openxmlformats.org/officeDocument/2006/relationships/hyperlink" Target="http://www.me.go.kr/hg/web/index.do?menuId=1255" TargetMode="External"/><Relationship Id="rId14" Type="http://schemas.openxmlformats.org/officeDocument/2006/relationships/hyperlink" Target="https://daejeon.go.kr/drh/drhGosiList.do?gosigbn=A&amp;menuSeq=1908" TargetMode="External"/><Relationship Id="rId22" Type="http://schemas.openxmlformats.org/officeDocument/2006/relationships/hyperlink" Target="https://me.go.kr/wonju/web/index.do?menuId=1050" TargetMode="External"/><Relationship Id="rId27" Type="http://schemas.openxmlformats.org/officeDocument/2006/relationships/hyperlink" Target="https://www.kwater.or.kr/news/sub01/noti01List.do?s_mid=105&amp;brdId=KO27" TargetMode="External"/><Relationship Id="rId30" Type="http://schemas.openxmlformats.org/officeDocument/2006/relationships/hyperlink" Target="https://www.djtc.kr/kor/index.do" TargetMode="External"/><Relationship Id="rId35" Type="http://schemas.openxmlformats.org/officeDocument/2006/relationships/hyperlink" Target="https://ebid.ex.co.kr/default.do" TargetMode="External"/><Relationship Id="rId43" Type="http://schemas.openxmlformats.org/officeDocument/2006/relationships/hyperlink" Target="https://masan.mof.go.kr/ko/board.do?menuIdx=3676" TargetMode="External"/><Relationship Id="rId48" Type="http://schemas.openxmlformats.org/officeDocument/2006/relationships/hyperlink" Target="https://daesan.mof.go.kr/ko/board.do?menuIdx=3016" TargetMode="External"/><Relationship Id="rId56" Type="http://schemas.openxmlformats.org/officeDocument/2006/relationships/hyperlink" Target="https://mokpo.mof.go.kr/ko/board.do?menuIdx=1312" TargetMode="External"/><Relationship Id="rId64" Type="http://schemas.openxmlformats.org/officeDocument/2006/relationships/hyperlink" Target="https://www.brcn.go.kr/prog/eminwon/kor/BB/sub04_03_01/list.do" TargetMode="External"/><Relationship Id="rId69" Type="http://schemas.openxmlformats.org/officeDocument/2006/relationships/hyperlink" Target="http://www.me.go.kr/gg/web/board/list.do?menuId=2284&amp;boardMasterId=235&amp;boardCategoryId=&amp;maxIndexPages=10&amp;condition.hideCate=&amp;condition.createId=&amp;decorator=&amp;condition.proxyParam1=&amp;condition.proxyParam2=&amp;condition.proxyParam3=&amp;proxyListPath=&amp;proxyReadPath=&amp;searchKey=title&amp;searchValue=&amp;condition.fromDate=&amp;picker_year=2024&amp;picker_month=7&amp;condition.toDate=&amp;picker_year=2024&amp;picker_month=7" TargetMode="External"/><Relationship Id="rId77" Type="http://schemas.openxmlformats.org/officeDocument/2006/relationships/hyperlink" Target="https://ebid.lh.or.kr/ebid.com.cmd.MainCmd.dev" TargetMode="External"/><Relationship Id="rId8" Type="http://schemas.openxmlformats.org/officeDocument/2006/relationships/hyperlink" Target="http://www.molit.go.kr/wrocm/USR/BORD0201/m_15959/BRD.jsp" TargetMode="External"/><Relationship Id="rId51" Type="http://schemas.openxmlformats.org/officeDocument/2006/relationships/hyperlink" Target="https://www.taean.go.kr/kor/sub02_03_01.do" TargetMode="External"/><Relationship Id="rId72" Type="http://schemas.openxmlformats.org/officeDocument/2006/relationships/hyperlink" Target="https://www.kogas.or.kr/site/koGas/goBoard.do?boardNo=6&amp;Key=1010201000000" TargetMode="External"/><Relationship Id="rId80" Type="http://schemas.openxmlformats.org/officeDocument/2006/relationships/hyperlink" Target="https://new.kpx.or.kr/board.es?mid=a11201000000&amp;bid=0042" TargetMode="External"/><Relationship Id="rId85" Type="http://schemas.openxmlformats.org/officeDocument/2006/relationships/hyperlink" Target="https://www.geumsan.go.kr/kr/html/sub03/030302.html" TargetMode="External"/><Relationship Id="rId3" Type="http://schemas.openxmlformats.org/officeDocument/2006/relationships/hyperlink" Target="http://www.molit.go.kr/drocm/USR/BORD0201/m_16064/BRD.jsp" TargetMode="External"/><Relationship Id="rId12" Type="http://schemas.openxmlformats.org/officeDocument/2006/relationships/hyperlink" Target="https://www.koenergy.kr/kosep/fr/bo/board/main.do?menuCd=FN05020101" TargetMode="External"/><Relationship Id="rId17" Type="http://schemas.openxmlformats.org/officeDocument/2006/relationships/hyperlink" Target="https://www.daedeok.go.kr/dpt/dpt04/DPT040204_cmmBoardList.do" TargetMode="External"/><Relationship Id="rId25" Type="http://schemas.openxmlformats.org/officeDocument/2006/relationships/hyperlink" Target="http://www.me.go.kr/ndg/web/index.do?menuId=3283" TargetMode="External"/><Relationship Id="rId33" Type="http://schemas.openxmlformats.org/officeDocument/2006/relationships/hyperlink" Target="https://www.kr.or.kr/boardCnts/list.do?boardID=51" TargetMode="External"/><Relationship Id="rId38" Type="http://schemas.openxmlformats.org/officeDocument/2006/relationships/hyperlink" Target="https://www.dia.mil.kr/dia/4459/subview.do" TargetMode="External"/><Relationship Id="rId46" Type="http://schemas.openxmlformats.org/officeDocument/2006/relationships/hyperlink" Target="https://www.igunsul.net/" TargetMode="External"/><Relationship Id="rId59" Type="http://schemas.openxmlformats.org/officeDocument/2006/relationships/hyperlink" Target="https://www.g2b.go.kr/index.jsp" TargetMode="External"/><Relationship Id="rId67" Type="http://schemas.openxmlformats.org/officeDocument/2006/relationships/hyperlink" Target="https://www.nonsan.go.kr/kor/html/sub03/030102.html" TargetMode="External"/><Relationship Id="rId20" Type="http://schemas.openxmlformats.org/officeDocument/2006/relationships/hyperlink" Target="http://www.molit.go.kr/srocm/USR/BORD0201/m_13078/BRD.jsp" TargetMode="External"/><Relationship Id="rId41" Type="http://schemas.openxmlformats.org/officeDocument/2006/relationships/hyperlink" Target="https://incheon.mof.go.kr/ko/board.do?menuIdx=1689" TargetMode="External"/><Relationship Id="rId54" Type="http://schemas.openxmlformats.org/officeDocument/2006/relationships/hyperlink" Target="https://www.kamco.or.kr/portal/bbs/list.do?ptIdx=380&amp;mId=0701010000" TargetMode="External"/><Relationship Id="rId62" Type="http://schemas.openxmlformats.org/officeDocument/2006/relationships/hyperlink" Target="https://www.buyeo.go.kr/html/kr/news/news_040202.html" TargetMode="External"/><Relationship Id="rId70" Type="http://schemas.openxmlformats.org/officeDocument/2006/relationships/hyperlink" Target="https://www.kcg.go.kr/kcg/main.do" TargetMode="External"/><Relationship Id="rId75" Type="http://schemas.openxmlformats.org/officeDocument/2006/relationships/hyperlink" Target="https://www.ygpa.or.kr/hmpg/ygpa/comu/anno/bordContListPage.do?bbs_no=275" TargetMode="External"/><Relationship Id="rId83" Type="http://schemas.openxmlformats.org/officeDocument/2006/relationships/hyperlink" Target="https://www.chungju.go.kr/www/selectEminwonList.do?key=510&amp;ofr_pageSize=10&amp;ancmt_se_code=01,02,04&amp;pageIndex=1" TargetMode="External"/><Relationship Id="rId1" Type="http://schemas.openxmlformats.org/officeDocument/2006/relationships/hyperlink" Target="https://www.add.re.kr/board?menuId=MENU02198&amp;siteId=SITE00002" TargetMode="External"/><Relationship Id="rId6" Type="http://schemas.openxmlformats.org/officeDocument/2006/relationships/hyperlink" Target="https://www.gwangju.go.kr/contentsView.do?pageId=www791" TargetMode="External"/><Relationship Id="rId15" Type="http://schemas.openxmlformats.org/officeDocument/2006/relationships/hyperlink" Target="https://www.dcco.kr/web/board/list.do?mId=113&amp;keyField=subject&amp;key=" TargetMode="External"/><Relationship Id="rId23" Type="http://schemas.openxmlformats.org/officeDocument/2006/relationships/hyperlink" Target="https://www.molit.go.kr/brocm/USR/BORD0201/m_20654/LST.jsp" TargetMode="External"/><Relationship Id="rId28" Type="http://schemas.openxmlformats.org/officeDocument/2006/relationships/hyperlink" Target="https://ebid.kwater.or.kr/wq/index.do?w2xPath=%2fui%2findex.xml" TargetMode="External"/><Relationship Id="rId36" Type="http://schemas.openxmlformats.org/officeDocument/2006/relationships/hyperlink" Target="http://ebid.airport.kr/" TargetMode="External"/><Relationship Id="rId49" Type="http://schemas.openxmlformats.org/officeDocument/2006/relationships/hyperlink" Target="https://www.icpa.or.kr/article/list.do?menuKey=397&amp;boardKey=213" TargetMode="External"/><Relationship Id="rId57" Type="http://schemas.openxmlformats.org/officeDocument/2006/relationships/hyperlink" Target="https://gunsan.mof.go.kr/ko/board.do?menuIdx=1111" TargetMode="External"/><Relationship Id="rId10" Type="http://schemas.openxmlformats.org/officeDocument/2006/relationships/hyperlink" Target="http://me.go.kr/ysg/web/index.do?menuId=4284" TargetMode="External"/><Relationship Id="rId31" Type="http://schemas.openxmlformats.org/officeDocument/2006/relationships/hyperlink" Target="https://www.airport.co.kr/www/cms/FrCon/index.do?MENU_ID=1100" TargetMode="External"/><Relationship Id="rId44" Type="http://schemas.openxmlformats.org/officeDocument/2006/relationships/hyperlink" Target="https://www.seosan.go.kr/www/contents.do?key=1258" TargetMode="External"/><Relationship Id="rId52" Type="http://schemas.openxmlformats.org/officeDocument/2006/relationships/hyperlink" Target="https://www.yesan.go.kr/prog/saeolGosi/GOSI/kor/sub04_03_01/list.do" TargetMode="External"/><Relationship Id="rId60" Type="http://schemas.openxmlformats.org/officeDocument/2006/relationships/hyperlink" Target="https://www.cheonan.go.kr/prog/saeolGosi/GOSI/kor/sub02_02_01/list.do" TargetMode="External"/><Relationship Id="rId65" Type="http://schemas.openxmlformats.org/officeDocument/2006/relationships/hyperlink" Target="http://www.molit.go.kr/irocm/USR/BORD0201/m_15643/BRD.jsp" TargetMode="External"/><Relationship Id="rId73" Type="http://schemas.openxmlformats.org/officeDocument/2006/relationships/hyperlink" Target="https://bid.kogas.or.kr:9443/supplier/index.jsp" TargetMode="External"/><Relationship Id="rId78" Type="http://schemas.openxmlformats.org/officeDocument/2006/relationships/hyperlink" Target="https://srm.kepco.net/mdi.do" TargetMode="External"/><Relationship Id="rId81" Type="http://schemas.openxmlformats.org/officeDocument/2006/relationships/hyperlink" Target="https://www.molit.go.kr/irocm/USR/BORD0201/m_19805/LST.jsp" TargetMode="External"/><Relationship Id="rId86" Type="http://schemas.openxmlformats.org/officeDocument/2006/relationships/hyperlink" Target="https://www.saemangeum.go.kr/sda/brd/list.do?key=2009075580577" TargetMode="External"/><Relationship Id="rId4" Type="http://schemas.openxmlformats.org/officeDocument/2006/relationships/hyperlink" Target="https://donghae.mof.go.kr/ko/board.do?menuIdx=2540" TargetMode="External"/><Relationship Id="rId9" Type="http://schemas.openxmlformats.org/officeDocument/2006/relationships/hyperlink" Target="https://www.hongseong.go.kr/prog/saeolGosi/kor/sub03_0204/GOSI_ALL/list.do" TargetMode="External"/><Relationship Id="rId13" Type="http://schemas.openxmlformats.org/officeDocument/2006/relationships/hyperlink" Target="https://www.sctc.kr/bbs/BBSS2110052039540671" TargetMode="External"/><Relationship Id="rId18" Type="http://schemas.openxmlformats.org/officeDocument/2006/relationships/hyperlink" Target="https://www.ekr.or.kr/planweb/board/list.krc?contentUid=402880317cc0644a017cc0c9da9f0120&amp;boardUid=402880317cc0644a017cc5e8000f06b7&amp;contentUid=402880317cc0644a017cc0c9da9f0120&amp;subPath=" TargetMode="External"/><Relationship Id="rId39" Type="http://schemas.openxmlformats.org/officeDocument/2006/relationships/hyperlink" Target="https://pohang.mof.go.kr/ko/board.do?menuIdx=2849" TargetMode="External"/><Relationship Id="rId34" Type="http://schemas.openxmlformats.org/officeDocument/2006/relationships/hyperlink" Target="https://www.asan.go.kr/main/cms/?no=257" TargetMode="External"/><Relationship Id="rId50" Type="http://schemas.openxmlformats.org/officeDocument/2006/relationships/hyperlink" Target="https://gyeryong.go.kr/kr/html/sub03/030102.html" TargetMode="External"/><Relationship Id="rId55" Type="http://schemas.openxmlformats.org/officeDocument/2006/relationships/hyperlink" Target="https://www.yuseong.go.kr/prog/saeolGosi/GOSI/kor/sub04_02_01/list.do" TargetMode="External"/><Relationship Id="rId76" Type="http://schemas.openxmlformats.org/officeDocument/2006/relationships/hyperlink" Target="https://www.hscity.go.kr/www/gosi/BD_selectGosiList.do?q_cp=&amp;q_notAncmtSeCode=04&amp;q_notAncmtMgtNo=&amp;q_sc=&amp;q_depNm=&amp;q_sv=&amp;q_rowPerPage=10&amp;q_currPage=1&amp;q_sortName=&amp;q_sortOrder=" TargetMode="External"/><Relationship Id="rId7" Type="http://schemas.openxmlformats.org/officeDocument/2006/relationships/hyperlink" Target="https://www.sejong.go.kr/prog/publicNotice/kor/sub02_0303/C1/list.do" TargetMode="External"/><Relationship Id="rId71" Type="http://schemas.openxmlformats.org/officeDocument/2006/relationships/hyperlink" Target="https://ulsan.mof.go.kr/ko/board.do?menuIdx=871" TargetMode="External"/><Relationship Id="rId2" Type="http://schemas.openxmlformats.org/officeDocument/2006/relationships/hyperlink" Target="https://www.gongju.go.kr/prog/saeolGosi/GOSI_03/sub04_03_03/list.do" TargetMode="External"/><Relationship Id="rId29" Type="http://schemas.openxmlformats.org/officeDocument/2006/relationships/hyperlink" Target="https://www.koem.or.kr/site/koem/ex/board/List.do?cbIdx=236" TargetMode="External"/><Relationship Id="rId24" Type="http://schemas.openxmlformats.org/officeDocument/2006/relationships/hyperlink" Target="https://www.molit.go.kr/brocm/USR/BORD0201/m_15109/BRD.jsp" TargetMode="External"/><Relationship Id="rId40" Type="http://schemas.openxmlformats.org/officeDocument/2006/relationships/hyperlink" Target="https://www.fipa.or.kr/fipa/bbs/i-326/list.do" TargetMode="External"/><Relationship Id="rId45" Type="http://schemas.openxmlformats.org/officeDocument/2006/relationships/hyperlink" Target="https://www.djjunggu.go.kr/prog/saeolGosi/GOSI/sub03_06/list.do" TargetMode="External"/><Relationship Id="rId66" Type="http://schemas.openxmlformats.org/officeDocument/2006/relationships/hyperlink" Target="https://www.molit.go.kr/brocm/USR/WPGE0201/m_21030/DTL.jsp" TargetMode="External"/><Relationship Id="rId61" Type="http://schemas.openxmlformats.org/officeDocument/2006/relationships/hyperlink" Target="https://www.lh.or.kr/board.es?mid=a10601020000&amp;bid=0034" TargetMode="External"/><Relationship Id="rId82" Type="http://schemas.openxmlformats.org/officeDocument/2006/relationships/hyperlink" Target="https://www.dangjin.go.kr/kor/sub03_02_01_01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8BA4-CA8E-47CB-ADB9-6315A87590ED}">
  <dimension ref="A1:AK1128"/>
  <sheetViews>
    <sheetView tabSelected="1" topLeftCell="A43" zoomScale="70" zoomScaleNormal="70" workbookViewId="0">
      <selection activeCell="I52" sqref="I52"/>
    </sheetView>
  </sheetViews>
  <sheetFormatPr defaultRowHeight="16.5"/>
  <cols>
    <col min="1" max="1" width="10.625" style="22" customWidth="1"/>
    <col min="2" max="2" width="20.625" style="17" customWidth="1"/>
    <col min="3" max="3" width="20.625" style="5" customWidth="1"/>
    <col min="4" max="4" width="40.625" style="5" customWidth="1"/>
    <col min="5" max="8" width="20.625" style="5" customWidth="1"/>
    <col min="9" max="9" width="40.625" style="5" customWidth="1"/>
    <col min="10" max="11" width="20.625" style="5" customWidth="1"/>
    <col min="12" max="12" width="40.625" style="56" customWidth="1"/>
    <col min="13" max="13" width="20.625" style="20" customWidth="1"/>
    <col min="14" max="17" width="20.625" style="5" customWidth="1"/>
    <col min="18" max="18" width="20.625" style="19" customWidth="1"/>
    <col min="19" max="19" width="20.625" style="31" customWidth="1"/>
    <col min="20" max="20" width="20.625" style="17" customWidth="1"/>
    <col min="21" max="24" width="20.625" style="5" customWidth="1"/>
    <col min="25" max="25" width="20.625" style="19" customWidth="1"/>
    <col min="26" max="26" width="20.625" style="20" customWidth="1"/>
    <col min="27" max="607" width="20.625" style="5" customWidth="1"/>
    <col min="608" max="16384" width="9" style="5"/>
  </cols>
  <sheetData>
    <row r="1" spans="1:26" s="21" customFormat="1" ht="39.950000000000003" customHeight="1" thickBot="1">
      <c r="A1" s="20"/>
      <c r="L1" s="53"/>
      <c r="M1" s="20"/>
      <c r="N1" s="20"/>
      <c r="O1" s="20"/>
      <c r="P1" s="20"/>
      <c r="Q1" s="20"/>
      <c r="R1" s="20"/>
      <c r="S1" s="20"/>
      <c r="Z1" s="20"/>
    </row>
    <row r="2" spans="1:26" s="4" customFormat="1" ht="39.950000000000003" customHeight="1" thickBot="1">
      <c r="A2" s="22"/>
      <c r="B2" s="64" t="s">
        <v>309</v>
      </c>
      <c r="C2" s="1" t="s">
        <v>308</v>
      </c>
      <c r="D2" s="63" t="s">
        <v>0</v>
      </c>
      <c r="E2" s="41" t="s">
        <v>1</v>
      </c>
      <c r="F2" s="41" t="s">
        <v>2</v>
      </c>
      <c r="G2" s="41" t="s">
        <v>3</v>
      </c>
      <c r="H2" s="41" t="s">
        <v>4</v>
      </c>
      <c r="I2" s="63" t="s">
        <v>5</v>
      </c>
      <c r="J2" s="74" t="s">
        <v>117</v>
      </c>
      <c r="K2" s="75"/>
      <c r="L2" s="70" t="s">
        <v>118</v>
      </c>
      <c r="M2" s="20"/>
      <c r="N2" s="65" t="s">
        <v>218</v>
      </c>
      <c r="O2" s="65" t="s">
        <v>219</v>
      </c>
      <c r="P2" s="65" t="s">
        <v>220</v>
      </c>
      <c r="Q2" s="65" t="s">
        <v>221</v>
      </c>
      <c r="R2" s="71" t="s">
        <v>119</v>
      </c>
      <c r="S2" s="20"/>
      <c r="T2" s="69" t="s">
        <v>308</v>
      </c>
      <c r="U2" s="69" t="s">
        <v>0</v>
      </c>
      <c r="V2" s="69" t="s">
        <v>1</v>
      </c>
      <c r="W2" s="69" t="s">
        <v>2</v>
      </c>
      <c r="X2" s="69" t="s">
        <v>3</v>
      </c>
      <c r="Y2" s="68" t="s">
        <v>4</v>
      </c>
      <c r="Z2" s="20"/>
    </row>
    <row r="3" spans="1:26" ht="39.950000000000003" customHeight="1" thickTop="1">
      <c r="B3" s="77" t="s">
        <v>82</v>
      </c>
      <c r="C3" s="6" t="s">
        <v>6</v>
      </c>
      <c r="D3" s="60"/>
      <c r="E3" s="43" t="s">
        <v>120</v>
      </c>
      <c r="F3" s="44">
        <v>45749</v>
      </c>
      <c r="G3" s="24" t="str">
        <f t="shared" ref="G3:G34" ca="1" si="0">IFERROR(IF($L3-$R$3&lt;0,"기간 만료",$L3-$R$3),"미등록")</f>
        <v>기간 만료</v>
      </c>
      <c r="H3" s="25" t="s">
        <v>121</v>
      </c>
      <c r="I3" s="58" t="s">
        <v>122</v>
      </c>
      <c r="J3" s="112" t="s">
        <v>226</v>
      </c>
      <c r="K3" s="113"/>
      <c r="L3" s="57">
        <f>IF($F3+365=365,"",$F3+365)</f>
        <v>46114</v>
      </c>
      <c r="N3" s="105"/>
      <c r="O3" s="100"/>
      <c r="P3" s="100"/>
      <c r="Q3" s="98"/>
      <c r="R3" s="102">
        <f ca="1">TODAY()</f>
        <v>46219</v>
      </c>
      <c r="S3" s="20"/>
      <c r="T3" s="7" t="s">
        <v>79</v>
      </c>
      <c r="U3" s="67"/>
      <c r="V3" s="43" t="s">
        <v>120</v>
      </c>
      <c r="W3" s="44">
        <v>45869</v>
      </c>
      <c r="X3" s="24">
        <v>16</v>
      </c>
      <c r="Y3" s="3" t="s">
        <v>133</v>
      </c>
    </row>
    <row r="4" spans="1:26" ht="39.950000000000003" customHeight="1" thickBot="1">
      <c r="B4" s="78"/>
      <c r="C4" s="7" t="s">
        <v>7</v>
      </c>
      <c r="D4" s="61">
        <v>45859</v>
      </c>
      <c r="E4" s="43" t="s">
        <v>123</v>
      </c>
      <c r="F4" s="44"/>
      <c r="G4" s="24" t="str">
        <f t="shared" ca="1" si="0"/>
        <v>미등록</v>
      </c>
      <c r="H4" s="26" t="s">
        <v>124</v>
      </c>
      <c r="I4" s="59" t="s">
        <v>125</v>
      </c>
      <c r="J4" s="106" t="s">
        <v>227</v>
      </c>
      <c r="K4" s="106"/>
      <c r="L4" s="57" t="str">
        <f t="shared" ref="L4:L67" si="1">IF($F4+365=365,"",$F4+365)</f>
        <v/>
      </c>
      <c r="N4" s="101"/>
      <c r="O4" s="101"/>
      <c r="P4" s="101"/>
      <c r="Q4" s="99"/>
      <c r="R4" s="103"/>
      <c r="S4" s="20"/>
      <c r="T4" s="7" t="s">
        <v>71</v>
      </c>
      <c r="U4" s="62">
        <v>45841</v>
      </c>
      <c r="V4" s="43" t="s">
        <v>120</v>
      </c>
      <c r="W4" s="44">
        <v>45870</v>
      </c>
      <c r="X4" s="24">
        <v>17</v>
      </c>
      <c r="Y4" s="3" t="s">
        <v>191</v>
      </c>
    </row>
    <row r="5" spans="1:26" ht="39.950000000000003" customHeight="1" thickBot="1">
      <c r="B5" s="78"/>
      <c r="C5" s="7" t="s">
        <v>8</v>
      </c>
      <c r="D5" s="44"/>
      <c r="E5" s="43" t="s">
        <v>120</v>
      </c>
      <c r="F5" s="44">
        <v>45954</v>
      </c>
      <c r="G5" s="24">
        <f t="shared" ca="1" si="0"/>
        <v>100</v>
      </c>
      <c r="H5" s="3" t="s">
        <v>126</v>
      </c>
      <c r="I5" s="3" t="s">
        <v>127</v>
      </c>
      <c r="J5" s="106" t="s">
        <v>228</v>
      </c>
      <c r="K5" s="106"/>
      <c r="L5" s="57">
        <f t="shared" si="1"/>
        <v>46319</v>
      </c>
      <c r="N5" s="72" t="s">
        <v>2</v>
      </c>
      <c r="O5" s="72" t="s">
        <v>2</v>
      </c>
      <c r="P5" s="72" t="s">
        <v>2</v>
      </c>
      <c r="Q5" s="72" t="s">
        <v>2</v>
      </c>
      <c r="R5" s="103"/>
      <c r="S5" s="20"/>
      <c r="T5" s="6" t="s">
        <v>67</v>
      </c>
      <c r="U5" s="8">
        <v>45859</v>
      </c>
      <c r="V5" s="43" t="s">
        <v>120</v>
      </c>
      <c r="W5" s="44">
        <v>45883</v>
      </c>
      <c r="X5" s="24">
        <v>30</v>
      </c>
      <c r="Y5" s="3" t="s">
        <v>195</v>
      </c>
    </row>
    <row r="6" spans="1:26" ht="39.950000000000003" customHeight="1" thickTop="1" thickBot="1">
      <c r="B6" s="78"/>
      <c r="C6" s="7" t="s">
        <v>9</v>
      </c>
      <c r="D6" s="44"/>
      <c r="E6" s="43" t="s">
        <v>120</v>
      </c>
      <c r="F6" s="44">
        <v>45950</v>
      </c>
      <c r="G6" s="24">
        <f t="shared" ca="1" si="0"/>
        <v>96</v>
      </c>
      <c r="H6" s="3" t="s">
        <v>128</v>
      </c>
      <c r="I6" s="3" t="s">
        <v>129</v>
      </c>
      <c r="J6" s="106" t="s">
        <v>229</v>
      </c>
      <c r="K6" s="106"/>
      <c r="L6" s="57">
        <f t="shared" si="1"/>
        <v>46315</v>
      </c>
      <c r="N6" s="49" t="s">
        <v>310</v>
      </c>
      <c r="O6" s="50">
        <v>46023</v>
      </c>
      <c r="P6" s="49" t="s">
        <v>310</v>
      </c>
      <c r="Q6" s="49" t="s">
        <v>310</v>
      </c>
      <c r="R6" s="103"/>
      <c r="S6" s="20"/>
      <c r="T6" s="7" t="s">
        <v>12</v>
      </c>
      <c r="U6" s="44"/>
      <c r="V6" s="43" t="s">
        <v>120</v>
      </c>
      <c r="W6" s="44">
        <v>45904</v>
      </c>
      <c r="X6" s="24">
        <v>51</v>
      </c>
      <c r="Y6" s="3" t="s">
        <v>133</v>
      </c>
    </row>
    <row r="7" spans="1:26" ht="39.950000000000003" customHeight="1" thickBot="1">
      <c r="B7" s="78"/>
      <c r="C7" s="7" t="s">
        <v>10</v>
      </c>
      <c r="D7" s="44"/>
      <c r="E7" s="43" t="s">
        <v>120</v>
      </c>
      <c r="F7" s="44">
        <v>45973</v>
      </c>
      <c r="G7" s="24">
        <f t="shared" ca="1" si="0"/>
        <v>119</v>
      </c>
      <c r="H7" s="3" t="s">
        <v>130</v>
      </c>
      <c r="I7" s="3" t="s">
        <v>131</v>
      </c>
      <c r="J7" s="106" t="s">
        <v>230</v>
      </c>
      <c r="K7" s="106"/>
      <c r="L7" s="57">
        <f t="shared" si="1"/>
        <v>46338</v>
      </c>
      <c r="N7" s="72" t="s">
        <v>3</v>
      </c>
      <c r="O7" s="72" t="s">
        <v>3</v>
      </c>
      <c r="P7" s="72" t="s">
        <v>3</v>
      </c>
      <c r="Q7" s="72" t="s">
        <v>3</v>
      </c>
      <c r="R7" s="103"/>
      <c r="S7" s="20"/>
      <c r="T7" s="6" t="s">
        <v>47</v>
      </c>
      <c r="U7" s="44"/>
      <c r="V7" s="43" t="s">
        <v>120</v>
      </c>
      <c r="W7" s="44">
        <v>45912</v>
      </c>
      <c r="X7" s="24">
        <v>59</v>
      </c>
      <c r="Y7" s="3" t="s">
        <v>165</v>
      </c>
    </row>
    <row r="8" spans="1:26" ht="39.950000000000003" customHeight="1" thickTop="1" thickBot="1">
      <c r="B8" s="78"/>
      <c r="C8" s="7" t="s">
        <v>11</v>
      </c>
      <c r="D8" s="44"/>
      <c r="E8" s="43" t="s">
        <v>120</v>
      </c>
      <c r="F8" s="44">
        <v>46118</v>
      </c>
      <c r="G8" s="24">
        <f t="shared" ca="1" si="0"/>
        <v>264</v>
      </c>
      <c r="H8" s="3" t="s">
        <v>130</v>
      </c>
      <c r="I8" s="3" t="s">
        <v>132</v>
      </c>
      <c r="J8" s="106" t="s">
        <v>231</v>
      </c>
      <c r="K8" s="106"/>
      <c r="L8" s="57">
        <f t="shared" si="1"/>
        <v>46483</v>
      </c>
      <c r="N8" s="73" t="str">
        <f>IFERROR(N$6+365,"-")</f>
        <v>-</v>
      </c>
      <c r="O8" s="73">
        <f t="shared" ref="O8:Q8" si="2">IFERROR(O$6+365,"-")</f>
        <v>46388</v>
      </c>
      <c r="P8" s="73" t="str">
        <f t="shared" si="2"/>
        <v>-</v>
      </c>
      <c r="Q8" s="73" t="str">
        <f t="shared" si="2"/>
        <v>-</v>
      </c>
      <c r="R8" s="104"/>
      <c r="S8" s="20"/>
      <c r="T8" s="7" t="s">
        <v>40</v>
      </c>
      <c r="U8" s="7"/>
      <c r="V8" s="43" t="s">
        <v>120</v>
      </c>
      <c r="W8" s="44">
        <v>45931</v>
      </c>
      <c r="X8" s="24">
        <v>78</v>
      </c>
      <c r="Y8" s="23" t="s">
        <v>172</v>
      </c>
    </row>
    <row r="9" spans="1:26" ht="39.950000000000003" customHeight="1">
      <c r="B9" s="78"/>
      <c r="C9" s="7" t="s">
        <v>12</v>
      </c>
      <c r="D9" s="44"/>
      <c r="E9" s="43" t="s">
        <v>120</v>
      </c>
      <c r="F9" s="44">
        <v>45904</v>
      </c>
      <c r="G9" s="24">
        <f t="shared" ca="1" si="0"/>
        <v>50</v>
      </c>
      <c r="H9" s="3" t="s">
        <v>133</v>
      </c>
      <c r="I9" s="3" t="s">
        <v>134</v>
      </c>
      <c r="J9" s="106" t="s">
        <v>232</v>
      </c>
      <c r="K9" s="106"/>
      <c r="L9" s="57">
        <f t="shared" si="1"/>
        <v>46269</v>
      </c>
      <c r="N9" s="20"/>
      <c r="O9" s="20"/>
      <c r="P9" s="20"/>
      <c r="Q9" s="20"/>
      <c r="R9" s="20"/>
      <c r="S9" s="20"/>
      <c r="T9" s="7" t="s">
        <v>70</v>
      </c>
      <c r="U9" s="7"/>
      <c r="V9" s="43" t="s">
        <v>120</v>
      </c>
      <c r="W9" s="44">
        <v>45946</v>
      </c>
      <c r="X9" s="24">
        <v>93</v>
      </c>
      <c r="Y9" s="3" t="s">
        <v>148</v>
      </c>
    </row>
    <row r="10" spans="1:26" ht="39.950000000000003" customHeight="1">
      <c r="B10" s="78"/>
      <c r="C10" s="7" t="s">
        <v>13</v>
      </c>
      <c r="D10" s="8">
        <v>45863</v>
      </c>
      <c r="E10" s="43" t="s">
        <v>123</v>
      </c>
      <c r="F10" s="44"/>
      <c r="G10" s="24" t="str">
        <f t="shared" ca="1" si="0"/>
        <v>미등록</v>
      </c>
      <c r="H10" s="3" t="s">
        <v>135</v>
      </c>
      <c r="I10" s="3" t="s">
        <v>132</v>
      </c>
      <c r="J10" s="106" t="s">
        <v>233</v>
      </c>
      <c r="K10" s="106"/>
      <c r="L10" s="57" t="str">
        <f t="shared" si="1"/>
        <v/>
      </c>
      <c r="N10" s="20"/>
      <c r="O10" s="20"/>
      <c r="P10" s="20"/>
      <c r="Q10" s="20"/>
      <c r="R10" s="20"/>
      <c r="S10" s="20"/>
      <c r="T10" s="6" t="s">
        <v>49</v>
      </c>
      <c r="U10" s="8">
        <v>45908</v>
      </c>
      <c r="V10" s="46" t="s">
        <v>120</v>
      </c>
      <c r="W10" s="44">
        <v>45949</v>
      </c>
      <c r="X10" s="24">
        <v>96</v>
      </c>
      <c r="Y10" s="3" t="s">
        <v>165</v>
      </c>
    </row>
    <row r="11" spans="1:26" ht="39.950000000000003" customHeight="1">
      <c r="B11" s="78"/>
      <c r="C11" s="6" t="s">
        <v>14</v>
      </c>
      <c r="D11" s="8">
        <v>45968</v>
      </c>
      <c r="E11" s="43" t="s">
        <v>120</v>
      </c>
      <c r="F11" s="44">
        <v>45992</v>
      </c>
      <c r="G11" s="24">
        <f t="shared" ca="1" si="0"/>
        <v>138</v>
      </c>
      <c r="H11" s="3" t="s">
        <v>133</v>
      </c>
      <c r="I11" s="3" t="s">
        <v>136</v>
      </c>
      <c r="J11" s="106" t="s">
        <v>234</v>
      </c>
      <c r="K11" s="106"/>
      <c r="L11" s="57">
        <f t="shared" si="1"/>
        <v>46357</v>
      </c>
      <c r="N11" t="s">
        <v>313</v>
      </c>
      <c r="O11" s="4"/>
      <c r="P11" s="4"/>
      <c r="Q11" s="4"/>
      <c r="R11" s="29"/>
      <c r="T11" s="7" t="s">
        <v>9</v>
      </c>
      <c r="U11" s="44"/>
      <c r="V11" s="43" t="s">
        <v>120</v>
      </c>
      <c r="W11" s="44">
        <v>45950</v>
      </c>
      <c r="X11" s="24">
        <v>97</v>
      </c>
      <c r="Y11" s="3" t="s">
        <v>128</v>
      </c>
    </row>
    <row r="12" spans="1:26" ht="39.950000000000003" customHeight="1">
      <c r="B12" s="78"/>
      <c r="C12" s="6" t="s">
        <v>15</v>
      </c>
      <c r="D12" s="8">
        <v>45903</v>
      </c>
      <c r="E12" s="43" t="s">
        <v>120</v>
      </c>
      <c r="F12" s="44">
        <v>45951</v>
      </c>
      <c r="G12" s="24">
        <f t="shared" ca="1" si="0"/>
        <v>97</v>
      </c>
      <c r="H12" s="3" t="s">
        <v>133</v>
      </c>
      <c r="I12" s="3" t="s">
        <v>137</v>
      </c>
      <c r="J12" s="106" t="s">
        <v>235</v>
      </c>
      <c r="K12" s="106"/>
      <c r="L12" s="57">
        <f t="shared" si="1"/>
        <v>46316</v>
      </c>
      <c r="N12" t="s">
        <v>314</v>
      </c>
      <c r="T12" s="6" t="s">
        <v>15</v>
      </c>
      <c r="U12" s="8">
        <v>45903</v>
      </c>
      <c r="V12" s="43" t="s">
        <v>120</v>
      </c>
      <c r="W12" s="44">
        <v>45951</v>
      </c>
      <c r="X12" s="24">
        <v>98</v>
      </c>
      <c r="Y12" s="3" t="s">
        <v>133</v>
      </c>
    </row>
    <row r="13" spans="1:26" ht="39.950000000000003" customHeight="1">
      <c r="B13" s="78"/>
      <c r="C13" s="6" t="s">
        <v>16</v>
      </c>
      <c r="D13" s="8"/>
      <c r="E13" s="46" t="s">
        <v>120</v>
      </c>
      <c r="F13" s="44">
        <v>46188</v>
      </c>
      <c r="G13" s="24">
        <f t="shared" ca="1" si="0"/>
        <v>334</v>
      </c>
      <c r="H13" s="3" t="s">
        <v>138</v>
      </c>
      <c r="I13" s="3" t="s">
        <v>139</v>
      </c>
      <c r="J13" s="106" t="s">
        <v>236</v>
      </c>
      <c r="K13" s="106"/>
      <c r="L13" s="57">
        <f t="shared" si="1"/>
        <v>46553</v>
      </c>
      <c r="N13" t="s">
        <v>315</v>
      </c>
      <c r="T13" s="7" t="s">
        <v>8</v>
      </c>
      <c r="U13" s="44"/>
      <c r="V13" s="43" t="s">
        <v>120</v>
      </c>
      <c r="W13" s="44">
        <v>45954</v>
      </c>
      <c r="X13" s="24">
        <v>101</v>
      </c>
      <c r="Y13" s="3" t="s">
        <v>126</v>
      </c>
    </row>
    <row r="14" spans="1:26" ht="39.950000000000003" customHeight="1">
      <c r="B14" s="78"/>
      <c r="C14" s="7" t="s">
        <v>17</v>
      </c>
      <c r="D14" s="8"/>
      <c r="E14" s="46" t="s">
        <v>120</v>
      </c>
      <c r="F14" s="44">
        <v>46128</v>
      </c>
      <c r="G14" s="24">
        <f t="shared" ca="1" si="0"/>
        <v>274</v>
      </c>
      <c r="H14" s="3" t="s">
        <v>128</v>
      </c>
      <c r="I14" s="3" t="s">
        <v>137</v>
      </c>
      <c r="J14" s="106" t="s">
        <v>237</v>
      </c>
      <c r="K14" s="106"/>
      <c r="L14" s="57">
        <f t="shared" si="1"/>
        <v>46493</v>
      </c>
      <c r="N14" t="s">
        <v>316</v>
      </c>
      <c r="T14" s="6" t="s">
        <v>50</v>
      </c>
      <c r="U14" s="8"/>
      <c r="V14" s="46" t="s">
        <v>120</v>
      </c>
      <c r="W14" s="44">
        <v>45961</v>
      </c>
      <c r="X14" s="24">
        <v>108</v>
      </c>
      <c r="Y14" s="3" t="s">
        <v>165</v>
      </c>
    </row>
    <row r="15" spans="1:26" ht="39.950000000000003" customHeight="1">
      <c r="B15" s="78"/>
      <c r="C15" s="6" t="s">
        <v>18</v>
      </c>
      <c r="D15" s="8"/>
      <c r="E15" s="43" t="s">
        <v>120</v>
      </c>
      <c r="F15" s="8">
        <v>45817</v>
      </c>
      <c r="G15" s="24" t="str">
        <f t="shared" ca="1" si="0"/>
        <v>기간 만료</v>
      </c>
      <c r="H15" s="2" t="s">
        <v>128</v>
      </c>
      <c r="I15" s="2" t="s">
        <v>140</v>
      </c>
      <c r="J15" s="114" t="s">
        <v>238</v>
      </c>
      <c r="K15" s="114"/>
      <c r="L15" s="57">
        <f t="shared" si="1"/>
        <v>46182</v>
      </c>
      <c r="N15" t="s">
        <v>317</v>
      </c>
      <c r="T15" s="6" t="s">
        <v>55</v>
      </c>
      <c r="U15" s="8"/>
      <c r="V15" s="46" t="s">
        <v>120</v>
      </c>
      <c r="W15" s="44">
        <v>45971</v>
      </c>
      <c r="X15" s="24">
        <v>118</v>
      </c>
      <c r="Y15" s="3" t="s">
        <v>186</v>
      </c>
    </row>
    <row r="16" spans="1:26" ht="39.950000000000003" customHeight="1">
      <c r="B16" s="78"/>
      <c r="C16" s="6" t="s">
        <v>97</v>
      </c>
      <c r="D16" s="8"/>
      <c r="E16" s="43" t="s">
        <v>120</v>
      </c>
      <c r="F16" s="44">
        <f>$O$6</f>
        <v>46023</v>
      </c>
      <c r="G16" s="24">
        <f t="shared" ca="1" si="0"/>
        <v>169</v>
      </c>
      <c r="H16" s="3" t="s">
        <v>128</v>
      </c>
      <c r="I16" s="3" t="s">
        <v>141</v>
      </c>
      <c r="J16" s="106" t="s">
        <v>239</v>
      </c>
      <c r="K16" s="106"/>
      <c r="L16" s="57">
        <f t="shared" si="1"/>
        <v>46388</v>
      </c>
      <c r="N16" t="s">
        <v>318</v>
      </c>
      <c r="T16" s="7" t="s">
        <v>10</v>
      </c>
      <c r="U16" s="44"/>
      <c r="V16" s="43" t="s">
        <v>120</v>
      </c>
      <c r="W16" s="44">
        <v>45973</v>
      </c>
      <c r="X16" s="24">
        <v>120</v>
      </c>
      <c r="Y16" s="3" t="s">
        <v>130</v>
      </c>
    </row>
    <row r="17" spans="2:25" ht="39.950000000000003" customHeight="1">
      <c r="B17" s="78"/>
      <c r="C17" s="6" t="s">
        <v>98</v>
      </c>
      <c r="D17" s="8"/>
      <c r="E17" s="43" t="s">
        <v>120</v>
      </c>
      <c r="F17" s="44">
        <f>$O$6</f>
        <v>46023</v>
      </c>
      <c r="G17" s="24">
        <f t="shared" ca="1" si="0"/>
        <v>169</v>
      </c>
      <c r="H17" s="3" t="s">
        <v>128</v>
      </c>
      <c r="I17" s="3" t="s">
        <v>142</v>
      </c>
      <c r="J17" s="106" t="s">
        <v>240</v>
      </c>
      <c r="K17" s="106"/>
      <c r="L17" s="57">
        <f t="shared" si="1"/>
        <v>46388</v>
      </c>
      <c r="N17" t="s">
        <v>319</v>
      </c>
      <c r="T17" s="6" t="s">
        <v>38</v>
      </c>
      <c r="U17" s="7"/>
      <c r="V17" s="43" t="s">
        <v>120</v>
      </c>
      <c r="W17" s="8">
        <v>45988</v>
      </c>
      <c r="X17" s="24">
        <v>135</v>
      </c>
      <c r="Y17" s="28" t="s">
        <v>148</v>
      </c>
    </row>
    <row r="18" spans="2:25" ht="39.950000000000003" customHeight="1">
      <c r="B18" s="79"/>
      <c r="C18" s="6" t="s">
        <v>19</v>
      </c>
      <c r="D18" s="8"/>
      <c r="E18" s="43" t="s">
        <v>123</v>
      </c>
      <c r="F18" s="44"/>
      <c r="G18" s="24" t="str">
        <f t="shared" ca="1" si="0"/>
        <v>미등록</v>
      </c>
      <c r="H18" s="27"/>
      <c r="I18" s="2" t="s">
        <v>143</v>
      </c>
      <c r="J18" s="106" t="s">
        <v>241</v>
      </c>
      <c r="K18" s="106"/>
      <c r="L18" s="57" t="str">
        <f t="shared" si="1"/>
        <v/>
      </c>
      <c r="N18" t="s">
        <v>320</v>
      </c>
      <c r="T18" s="6" t="s">
        <v>14</v>
      </c>
      <c r="U18" s="8">
        <v>45968</v>
      </c>
      <c r="V18" s="43" t="s">
        <v>120</v>
      </c>
      <c r="W18" s="44">
        <v>45992</v>
      </c>
      <c r="X18" s="24">
        <v>139</v>
      </c>
      <c r="Y18" s="3" t="s">
        <v>133</v>
      </c>
    </row>
    <row r="19" spans="2:25" ht="39.950000000000003" customHeight="1">
      <c r="B19" s="80" t="s">
        <v>83</v>
      </c>
      <c r="C19" s="6" t="s">
        <v>20</v>
      </c>
      <c r="D19" s="8"/>
      <c r="E19" s="43" t="s">
        <v>120</v>
      </c>
      <c r="F19" s="44">
        <v>46023</v>
      </c>
      <c r="G19" s="24">
        <f t="shared" ca="1" si="0"/>
        <v>169</v>
      </c>
      <c r="H19" s="3" t="s">
        <v>144</v>
      </c>
      <c r="I19" s="3" t="s">
        <v>145</v>
      </c>
      <c r="J19" s="45" t="s">
        <v>243</v>
      </c>
      <c r="K19" s="45" t="s">
        <v>242</v>
      </c>
      <c r="L19" s="57">
        <f t="shared" si="1"/>
        <v>46388</v>
      </c>
      <c r="N19" t="s">
        <v>321</v>
      </c>
      <c r="T19" s="7" t="s">
        <v>33</v>
      </c>
      <c r="U19" s="7"/>
      <c r="V19" s="43" t="s">
        <v>120</v>
      </c>
      <c r="W19" s="44">
        <v>46009</v>
      </c>
      <c r="X19" s="24">
        <v>156</v>
      </c>
      <c r="Y19" s="2" t="s">
        <v>149</v>
      </c>
    </row>
    <row r="20" spans="2:25" ht="39.950000000000003" customHeight="1">
      <c r="B20" s="81"/>
      <c r="C20" s="7" t="s">
        <v>99</v>
      </c>
      <c r="D20" s="8"/>
      <c r="E20" s="43" t="s">
        <v>120</v>
      </c>
      <c r="F20" s="44">
        <f t="shared" ref="F20:F26" si="3">$O$6</f>
        <v>46023</v>
      </c>
      <c r="G20" s="24">
        <f t="shared" ca="1" si="0"/>
        <v>169</v>
      </c>
      <c r="H20" s="3" t="s">
        <v>128</v>
      </c>
      <c r="I20" s="3" t="s">
        <v>146</v>
      </c>
      <c r="J20" s="106" t="s">
        <v>244</v>
      </c>
      <c r="K20" s="106"/>
      <c r="L20" s="57">
        <f t="shared" si="1"/>
        <v>46388</v>
      </c>
      <c r="N20" t="s">
        <v>322</v>
      </c>
      <c r="T20" s="6" t="s">
        <v>97</v>
      </c>
      <c r="U20" s="8"/>
      <c r="V20" s="43" t="s">
        <v>120</v>
      </c>
      <c r="W20" s="44">
        <v>46023</v>
      </c>
      <c r="X20" s="24">
        <v>170</v>
      </c>
      <c r="Y20" s="3" t="s">
        <v>128</v>
      </c>
    </row>
    <row r="21" spans="2:25" ht="39.950000000000003" customHeight="1">
      <c r="B21" s="81"/>
      <c r="C21" s="7" t="s">
        <v>100</v>
      </c>
      <c r="D21" s="8"/>
      <c r="E21" s="43" t="s">
        <v>120</v>
      </c>
      <c r="F21" s="44">
        <f t="shared" si="3"/>
        <v>46023</v>
      </c>
      <c r="G21" s="24">
        <f t="shared" ca="1" si="0"/>
        <v>169</v>
      </c>
      <c r="H21" s="3" t="s">
        <v>128</v>
      </c>
      <c r="I21" s="3" t="s">
        <v>147</v>
      </c>
      <c r="J21" s="108" t="s">
        <v>245</v>
      </c>
      <c r="K21" s="108"/>
      <c r="L21" s="57">
        <f t="shared" si="1"/>
        <v>46388</v>
      </c>
      <c r="N21" t="s">
        <v>323</v>
      </c>
      <c r="T21" s="6" t="s">
        <v>98</v>
      </c>
      <c r="U21" s="8"/>
      <c r="V21" s="43" t="s">
        <v>120</v>
      </c>
      <c r="W21" s="44">
        <v>46023</v>
      </c>
      <c r="X21" s="24">
        <v>170</v>
      </c>
      <c r="Y21" s="3" t="s">
        <v>128</v>
      </c>
    </row>
    <row r="22" spans="2:25" ht="39.950000000000003" customHeight="1">
      <c r="B22" s="81"/>
      <c r="C22" s="6" t="s">
        <v>101</v>
      </c>
      <c r="D22" s="8"/>
      <c r="E22" s="43" t="s">
        <v>120</v>
      </c>
      <c r="F22" s="44">
        <f t="shared" si="3"/>
        <v>46023</v>
      </c>
      <c r="G22" s="24">
        <f t="shared" ca="1" si="0"/>
        <v>169</v>
      </c>
      <c r="H22" s="25" t="s">
        <v>148</v>
      </c>
      <c r="I22" s="25" t="s">
        <v>147</v>
      </c>
      <c r="J22" s="106" t="s">
        <v>246</v>
      </c>
      <c r="K22" s="106"/>
      <c r="L22" s="57">
        <f t="shared" si="1"/>
        <v>46388</v>
      </c>
      <c r="N22" t="s">
        <v>324</v>
      </c>
      <c r="T22" s="6" t="s">
        <v>20</v>
      </c>
      <c r="U22" s="8"/>
      <c r="V22" s="43" t="s">
        <v>120</v>
      </c>
      <c r="W22" s="44">
        <v>46023</v>
      </c>
      <c r="X22" s="24">
        <v>170</v>
      </c>
      <c r="Y22" s="3" t="s">
        <v>144</v>
      </c>
    </row>
    <row r="23" spans="2:25" ht="39.950000000000003" customHeight="1">
      <c r="B23" s="81"/>
      <c r="C23" s="6" t="s">
        <v>102</v>
      </c>
      <c r="D23" s="8"/>
      <c r="E23" s="43" t="s">
        <v>120</v>
      </c>
      <c r="F23" s="44">
        <f t="shared" si="3"/>
        <v>46023</v>
      </c>
      <c r="G23" s="24">
        <f t="shared" ca="1" si="0"/>
        <v>169</v>
      </c>
      <c r="H23" s="3" t="s">
        <v>128</v>
      </c>
      <c r="I23" s="3" t="s">
        <v>147</v>
      </c>
      <c r="J23" s="106" t="s">
        <v>247</v>
      </c>
      <c r="K23" s="106"/>
      <c r="L23" s="57">
        <f t="shared" si="1"/>
        <v>46388</v>
      </c>
      <c r="N23" t="s">
        <v>325</v>
      </c>
      <c r="T23" s="7" t="s">
        <v>99</v>
      </c>
      <c r="U23" s="8"/>
      <c r="V23" s="43" t="s">
        <v>120</v>
      </c>
      <c r="W23" s="44">
        <v>46023</v>
      </c>
      <c r="X23" s="24">
        <v>170</v>
      </c>
      <c r="Y23" s="3" t="s">
        <v>128</v>
      </c>
    </row>
    <row r="24" spans="2:25" ht="39.950000000000003" customHeight="1">
      <c r="B24" s="81"/>
      <c r="C24" s="7" t="s">
        <v>103</v>
      </c>
      <c r="D24" s="8"/>
      <c r="E24" s="43" t="s">
        <v>120</v>
      </c>
      <c r="F24" s="44">
        <f t="shared" si="3"/>
        <v>46023</v>
      </c>
      <c r="G24" s="24">
        <f t="shared" ca="1" si="0"/>
        <v>169</v>
      </c>
      <c r="H24" s="3" t="s">
        <v>148</v>
      </c>
      <c r="I24" s="3" t="s">
        <v>147</v>
      </c>
      <c r="J24" s="107" t="s">
        <v>248</v>
      </c>
      <c r="K24" s="107"/>
      <c r="L24" s="57">
        <f t="shared" si="1"/>
        <v>46388</v>
      </c>
      <c r="N24" t="s">
        <v>326</v>
      </c>
      <c r="T24" s="7" t="s">
        <v>100</v>
      </c>
      <c r="U24" s="8"/>
      <c r="V24" s="43" t="s">
        <v>120</v>
      </c>
      <c r="W24" s="44">
        <v>46023</v>
      </c>
      <c r="X24" s="24">
        <v>170</v>
      </c>
      <c r="Y24" s="3" t="s">
        <v>128</v>
      </c>
    </row>
    <row r="25" spans="2:25" ht="39.950000000000003" customHeight="1">
      <c r="B25" s="82"/>
      <c r="C25" s="7" t="s">
        <v>104</v>
      </c>
      <c r="D25" s="8"/>
      <c r="E25" s="43" t="s">
        <v>120</v>
      </c>
      <c r="F25" s="44">
        <f t="shared" si="3"/>
        <v>46023</v>
      </c>
      <c r="G25" s="24">
        <f t="shared" ca="1" si="0"/>
        <v>169</v>
      </c>
      <c r="H25" s="3" t="s">
        <v>149</v>
      </c>
      <c r="I25" s="3" t="s">
        <v>147</v>
      </c>
      <c r="J25" s="108" t="s">
        <v>249</v>
      </c>
      <c r="K25" s="108"/>
      <c r="L25" s="57">
        <f t="shared" si="1"/>
        <v>46388</v>
      </c>
      <c r="N25" t="s">
        <v>327</v>
      </c>
      <c r="T25" s="6" t="s">
        <v>101</v>
      </c>
      <c r="U25" s="8"/>
      <c r="V25" s="43" t="s">
        <v>120</v>
      </c>
      <c r="W25" s="44">
        <v>46023</v>
      </c>
      <c r="X25" s="24">
        <v>170</v>
      </c>
      <c r="Y25" s="25" t="s">
        <v>148</v>
      </c>
    </row>
    <row r="26" spans="2:25" ht="39.950000000000003" customHeight="1">
      <c r="B26" s="9" t="s">
        <v>84</v>
      </c>
      <c r="C26" s="7" t="s">
        <v>21</v>
      </c>
      <c r="D26" s="8"/>
      <c r="E26" s="43" t="s">
        <v>120</v>
      </c>
      <c r="F26" s="44">
        <f t="shared" si="3"/>
        <v>46023</v>
      </c>
      <c r="G26" s="24">
        <f t="shared" ca="1" si="0"/>
        <v>169</v>
      </c>
      <c r="H26" s="3" t="s">
        <v>150</v>
      </c>
      <c r="I26" s="3" t="s">
        <v>151</v>
      </c>
      <c r="J26" s="106" t="s">
        <v>250</v>
      </c>
      <c r="K26" s="106"/>
      <c r="L26" s="57">
        <f t="shared" si="1"/>
        <v>46388</v>
      </c>
      <c r="N26" t="s">
        <v>328</v>
      </c>
      <c r="T26" s="6" t="s">
        <v>102</v>
      </c>
      <c r="U26" s="8"/>
      <c r="V26" s="43" t="s">
        <v>120</v>
      </c>
      <c r="W26" s="44">
        <v>46023</v>
      </c>
      <c r="X26" s="24">
        <v>170</v>
      </c>
      <c r="Y26" s="3" t="s">
        <v>128</v>
      </c>
    </row>
    <row r="27" spans="2:25" ht="39.950000000000003" customHeight="1">
      <c r="B27" s="10" t="s">
        <v>85</v>
      </c>
      <c r="C27" s="6" t="s">
        <v>22</v>
      </c>
      <c r="D27" s="8"/>
      <c r="E27" s="43" t="s">
        <v>120</v>
      </c>
      <c r="F27" s="47">
        <v>45659</v>
      </c>
      <c r="G27" s="24" t="str">
        <f t="shared" ca="1" si="0"/>
        <v>기간 만료</v>
      </c>
      <c r="H27" s="3"/>
      <c r="I27" s="3" t="s">
        <v>152</v>
      </c>
      <c r="J27" s="108" t="s">
        <v>251</v>
      </c>
      <c r="K27" s="108"/>
      <c r="L27" s="57">
        <f t="shared" si="1"/>
        <v>46024</v>
      </c>
      <c r="N27" t="s">
        <v>329</v>
      </c>
      <c r="T27" s="7" t="s">
        <v>103</v>
      </c>
      <c r="U27" s="8"/>
      <c r="V27" s="43" t="s">
        <v>120</v>
      </c>
      <c r="W27" s="44">
        <v>46023</v>
      </c>
      <c r="X27" s="24">
        <v>170</v>
      </c>
      <c r="Y27" s="3" t="s">
        <v>148</v>
      </c>
    </row>
    <row r="28" spans="2:25" ht="39.950000000000003" customHeight="1">
      <c r="B28" s="11" t="s">
        <v>86</v>
      </c>
      <c r="C28" s="7" t="s">
        <v>105</v>
      </c>
      <c r="D28" s="8"/>
      <c r="E28" s="43" t="s">
        <v>120</v>
      </c>
      <c r="F28" s="44">
        <f>$O$6</f>
        <v>46023</v>
      </c>
      <c r="G28" s="24">
        <f t="shared" ca="1" si="0"/>
        <v>169</v>
      </c>
      <c r="H28" s="3" t="s">
        <v>128</v>
      </c>
      <c r="I28" s="3" t="s">
        <v>153</v>
      </c>
      <c r="J28" s="106" t="s">
        <v>252</v>
      </c>
      <c r="K28" s="106"/>
      <c r="L28" s="57">
        <f t="shared" si="1"/>
        <v>46388</v>
      </c>
      <c r="N28" t="s">
        <v>330</v>
      </c>
      <c r="T28" s="7" t="s">
        <v>104</v>
      </c>
      <c r="U28" s="8"/>
      <c r="V28" s="43" t="s">
        <v>120</v>
      </c>
      <c r="W28" s="44">
        <v>46023</v>
      </c>
      <c r="X28" s="24">
        <v>170</v>
      </c>
      <c r="Y28" s="3" t="s">
        <v>149</v>
      </c>
    </row>
    <row r="29" spans="2:25" ht="39.950000000000003" customHeight="1">
      <c r="B29" s="83" t="s">
        <v>87</v>
      </c>
      <c r="C29" s="7" t="s">
        <v>23</v>
      </c>
      <c r="D29" s="8"/>
      <c r="E29" s="43" t="s">
        <v>120</v>
      </c>
      <c r="F29" s="44">
        <v>46032</v>
      </c>
      <c r="G29" s="24">
        <f t="shared" ca="1" si="0"/>
        <v>178</v>
      </c>
      <c r="H29" s="3" t="s">
        <v>154</v>
      </c>
      <c r="I29" s="3" t="s">
        <v>155</v>
      </c>
      <c r="J29" s="106" t="s">
        <v>253</v>
      </c>
      <c r="K29" s="106"/>
      <c r="L29" s="57">
        <f t="shared" si="1"/>
        <v>46397</v>
      </c>
      <c r="N29" t="s">
        <v>331</v>
      </c>
      <c r="T29" s="7" t="s">
        <v>21</v>
      </c>
      <c r="U29" s="8"/>
      <c r="V29" s="43" t="s">
        <v>120</v>
      </c>
      <c r="W29" s="44">
        <v>46023</v>
      </c>
      <c r="X29" s="24">
        <v>170</v>
      </c>
      <c r="Y29" s="3" t="s">
        <v>150</v>
      </c>
    </row>
    <row r="30" spans="2:25" ht="39.950000000000003" customHeight="1">
      <c r="B30" s="84"/>
      <c r="C30" s="7" t="s">
        <v>24</v>
      </c>
      <c r="D30" s="44">
        <v>45796</v>
      </c>
      <c r="E30" s="43" t="s">
        <v>120</v>
      </c>
      <c r="F30" s="44">
        <v>46206</v>
      </c>
      <c r="G30" s="24">
        <f t="shared" ca="1" si="0"/>
        <v>352</v>
      </c>
      <c r="H30" s="3" t="s">
        <v>154</v>
      </c>
      <c r="I30" s="3" t="s">
        <v>156</v>
      </c>
      <c r="J30" s="106" t="s">
        <v>254</v>
      </c>
      <c r="K30" s="106"/>
      <c r="L30" s="57">
        <f t="shared" si="1"/>
        <v>46571</v>
      </c>
      <c r="N30" t="s">
        <v>332</v>
      </c>
      <c r="T30" s="7" t="s">
        <v>105</v>
      </c>
      <c r="U30" s="8"/>
      <c r="V30" s="43" t="s">
        <v>120</v>
      </c>
      <c r="W30" s="44">
        <v>46023</v>
      </c>
      <c r="X30" s="24">
        <v>170</v>
      </c>
      <c r="Y30" s="3" t="s">
        <v>128</v>
      </c>
    </row>
    <row r="31" spans="2:25" ht="39.950000000000003" customHeight="1">
      <c r="B31" s="84"/>
      <c r="C31" s="7" t="s">
        <v>25</v>
      </c>
      <c r="D31" s="44">
        <v>44880</v>
      </c>
      <c r="E31" s="43" t="s">
        <v>123</v>
      </c>
      <c r="F31" s="44"/>
      <c r="G31" s="24" t="str">
        <f t="shared" ca="1" si="0"/>
        <v>미등록</v>
      </c>
      <c r="H31" s="3" t="s">
        <v>157</v>
      </c>
      <c r="I31" s="3" t="s">
        <v>158</v>
      </c>
      <c r="J31" s="106" t="s">
        <v>255</v>
      </c>
      <c r="K31" s="106"/>
      <c r="L31" s="57" t="str">
        <f t="shared" si="1"/>
        <v/>
      </c>
      <c r="N31" t="s">
        <v>333</v>
      </c>
      <c r="T31" s="7" t="s">
        <v>106</v>
      </c>
      <c r="U31" s="44"/>
      <c r="V31" s="43" t="s">
        <v>120</v>
      </c>
      <c r="W31" s="44">
        <v>46023</v>
      </c>
      <c r="X31" s="24">
        <v>170</v>
      </c>
      <c r="Y31" s="3" t="s">
        <v>128</v>
      </c>
    </row>
    <row r="32" spans="2:25" ht="39.950000000000003" customHeight="1">
      <c r="B32" s="84"/>
      <c r="C32" s="7" t="s">
        <v>26</v>
      </c>
      <c r="D32" s="44">
        <v>45807</v>
      </c>
      <c r="E32" s="43" t="s">
        <v>123</v>
      </c>
      <c r="F32" s="44">
        <v>45387</v>
      </c>
      <c r="G32" s="24" t="str">
        <f t="shared" ca="1" si="0"/>
        <v>기간 만료</v>
      </c>
      <c r="H32" s="3" t="s">
        <v>157</v>
      </c>
      <c r="I32" s="3" t="s">
        <v>159</v>
      </c>
      <c r="J32" s="106" t="s">
        <v>256</v>
      </c>
      <c r="K32" s="106"/>
      <c r="L32" s="57">
        <f t="shared" si="1"/>
        <v>45752</v>
      </c>
      <c r="N32" t="s">
        <v>334</v>
      </c>
      <c r="T32" s="6" t="s">
        <v>107</v>
      </c>
      <c r="U32" s="44"/>
      <c r="V32" s="43" t="s">
        <v>120</v>
      </c>
      <c r="W32" s="8">
        <v>46023</v>
      </c>
      <c r="X32" s="24">
        <v>170</v>
      </c>
      <c r="Y32" s="3" t="s">
        <v>128</v>
      </c>
    </row>
    <row r="33" spans="2:25" ht="39.950000000000003" customHeight="1">
      <c r="B33" s="84"/>
      <c r="C33" s="7" t="s">
        <v>27</v>
      </c>
      <c r="D33" s="44">
        <v>45341</v>
      </c>
      <c r="E33" s="43" t="s">
        <v>123</v>
      </c>
      <c r="F33" s="44"/>
      <c r="G33" s="24" t="str">
        <f t="shared" ca="1" si="0"/>
        <v>미등록</v>
      </c>
      <c r="H33" s="3" t="s">
        <v>157</v>
      </c>
      <c r="I33" s="3"/>
      <c r="J33" s="106"/>
      <c r="K33" s="106"/>
      <c r="L33" s="57" t="str">
        <f t="shared" si="1"/>
        <v/>
      </c>
      <c r="N33" t="s">
        <v>335</v>
      </c>
      <c r="T33" s="6" t="s">
        <v>53</v>
      </c>
      <c r="U33" s="8"/>
      <c r="V33" s="43" t="s">
        <v>120</v>
      </c>
      <c r="W33" s="44">
        <v>46023</v>
      </c>
      <c r="X33" s="24">
        <v>170</v>
      </c>
      <c r="Y33" s="3" t="s">
        <v>185</v>
      </c>
    </row>
    <row r="34" spans="2:25" ht="39.950000000000003" customHeight="1">
      <c r="B34" s="84"/>
      <c r="C34" s="7" t="s">
        <v>28</v>
      </c>
      <c r="D34" s="44">
        <v>45443</v>
      </c>
      <c r="E34" s="43" t="s">
        <v>123</v>
      </c>
      <c r="F34" s="44"/>
      <c r="G34" s="24" t="str">
        <f t="shared" ca="1" si="0"/>
        <v>미등록</v>
      </c>
      <c r="H34" s="3" t="s">
        <v>157</v>
      </c>
      <c r="I34" s="3" t="s">
        <v>160</v>
      </c>
      <c r="J34" s="106" t="s">
        <v>257</v>
      </c>
      <c r="K34" s="106"/>
      <c r="L34" s="57" t="str">
        <f t="shared" si="1"/>
        <v/>
      </c>
      <c r="N34" t="s">
        <v>336</v>
      </c>
      <c r="T34" s="6" t="s">
        <v>108</v>
      </c>
      <c r="U34" s="44"/>
      <c r="V34" s="43">
        <v>0</v>
      </c>
      <c r="W34" s="48">
        <v>46023</v>
      </c>
      <c r="X34" s="24">
        <v>170</v>
      </c>
      <c r="Y34" s="3" t="s">
        <v>128</v>
      </c>
    </row>
    <row r="35" spans="2:25" ht="39.950000000000003" customHeight="1">
      <c r="B35" s="84"/>
      <c r="C35" s="7" t="s">
        <v>29</v>
      </c>
      <c r="D35" s="44"/>
      <c r="E35" s="43" t="s">
        <v>123</v>
      </c>
      <c r="F35" s="44"/>
      <c r="G35" s="24" t="str">
        <f t="shared" ref="G35:G66" ca="1" si="4">IFERROR(IF($L35-$R$3&lt;0,"기간 만료",$L35-$R$3),"미등록")</f>
        <v>미등록</v>
      </c>
      <c r="H35" s="3" t="s">
        <v>161</v>
      </c>
      <c r="I35" s="3" t="s">
        <v>162</v>
      </c>
      <c r="J35" s="106" t="s">
        <v>258</v>
      </c>
      <c r="K35" s="106"/>
      <c r="L35" s="57" t="str">
        <f t="shared" si="1"/>
        <v/>
      </c>
      <c r="N35" t="s">
        <v>337</v>
      </c>
      <c r="T35" s="7" t="s">
        <v>109</v>
      </c>
      <c r="U35" s="7"/>
      <c r="V35" s="43" t="s">
        <v>120</v>
      </c>
      <c r="W35" s="44">
        <v>46023</v>
      </c>
      <c r="X35" s="24">
        <v>170</v>
      </c>
      <c r="Y35" s="3" t="s">
        <v>197</v>
      </c>
    </row>
    <row r="36" spans="2:25" ht="39.950000000000003" customHeight="1">
      <c r="B36" s="84"/>
      <c r="C36" s="7" t="s">
        <v>30</v>
      </c>
      <c r="D36" s="44">
        <v>45485</v>
      </c>
      <c r="E36" s="43" t="s">
        <v>123</v>
      </c>
      <c r="F36" s="44"/>
      <c r="G36" s="24" t="str">
        <f t="shared" ca="1" si="4"/>
        <v>미등록</v>
      </c>
      <c r="H36" s="3" t="s">
        <v>157</v>
      </c>
      <c r="I36" s="3" t="s">
        <v>163</v>
      </c>
      <c r="J36" s="106" t="s">
        <v>259</v>
      </c>
      <c r="K36" s="106"/>
      <c r="L36" s="57" t="str">
        <f t="shared" si="1"/>
        <v/>
      </c>
      <c r="N36" t="s">
        <v>338</v>
      </c>
      <c r="T36" s="7" t="s">
        <v>110</v>
      </c>
      <c r="U36" s="7"/>
      <c r="V36" s="43" t="s">
        <v>120</v>
      </c>
      <c r="W36" s="44">
        <v>46023</v>
      </c>
      <c r="X36" s="24">
        <v>170</v>
      </c>
      <c r="Y36" s="3" t="s">
        <v>148</v>
      </c>
    </row>
    <row r="37" spans="2:25" ht="39.950000000000003" customHeight="1">
      <c r="B37" s="84"/>
      <c r="C37" s="7" t="s">
        <v>31</v>
      </c>
      <c r="D37" s="7"/>
      <c r="E37" s="43" t="s">
        <v>123</v>
      </c>
      <c r="F37" s="44"/>
      <c r="G37" s="24" t="str">
        <f t="shared" ca="1" si="4"/>
        <v>미등록</v>
      </c>
      <c r="H37" s="3" t="s">
        <v>157</v>
      </c>
      <c r="I37" s="3" t="s">
        <v>164</v>
      </c>
      <c r="J37" s="106" t="s">
        <v>260</v>
      </c>
      <c r="K37" s="106"/>
      <c r="L37" s="57" t="str">
        <f t="shared" si="1"/>
        <v/>
      </c>
      <c r="N37" t="s">
        <v>339</v>
      </c>
      <c r="T37" s="6" t="s">
        <v>111</v>
      </c>
      <c r="U37" s="44"/>
      <c r="V37" s="43" t="s">
        <v>120</v>
      </c>
      <c r="W37" s="44">
        <v>46023</v>
      </c>
      <c r="X37" s="24">
        <v>170</v>
      </c>
      <c r="Y37" s="3" t="s">
        <v>128</v>
      </c>
    </row>
    <row r="38" spans="2:25" ht="39.950000000000003" customHeight="1">
      <c r="B38" s="84"/>
      <c r="C38" s="7" t="s">
        <v>32</v>
      </c>
      <c r="D38" s="7"/>
      <c r="E38" s="43" t="s">
        <v>120</v>
      </c>
      <c r="F38" s="44">
        <v>46031</v>
      </c>
      <c r="G38" s="24">
        <f t="shared" ca="1" si="4"/>
        <v>177</v>
      </c>
      <c r="H38" s="2" t="s">
        <v>165</v>
      </c>
      <c r="I38" s="2" t="s">
        <v>166</v>
      </c>
      <c r="J38" s="106" t="s">
        <v>261</v>
      </c>
      <c r="K38" s="106"/>
      <c r="L38" s="57">
        <f t="shared" si="1"/>
        <v>46396</v>
      </c>
      <c r="N38" t="s">
        <v>340</v>
      </c>
      <c r="T38" s="7" t="s">
        <v>112</v>
      </c>
      <c r="U38" s="7"/>
      <c r="V38" s="43" t="s">
        <v>120</v>
      </c>
      <c r="W38" s="44">
        <v>46023</v>
      </c>
      <c r="X38" s="24">
        <v>170</v>
      </c>
      <c r="Y38" s="3" t="s">
        <v>128</v>
      </c>
    </row>
    <row r="39" spans="2:25" ht="39.950000000000003" customHeight="1">
      <c r="B39" s="84"/>
      <c r="C39" s="7" t="s">
        <v>33</v>
      </c>
      <c r="D39" s="7"/>
      <c r="E39" s="43" t="s">
        <v>120</v>
      </c>
      <c r="F39" s="44">
        <v>46009</v>
      </c>
      <c r="G39" s="24">
        <f t="shared" ca="1" si="4"/>
        <v>155</v>
      </c>
      <c r="H39" s="2" t="s">
        <v>149</v>
      </c>
      <c r="I39" s="2" t="s">
        <v>166</v>
      </c>
      <c r="J39" s="106" t="s">
        <v>262</v>
      </c>
      <c r="K39" s="106"/>
      <c r="L39" s="57">
        <f t="shared" si="1"/>
        <v>46374</v>
      </c>
      <c r="N39" t="s">
        <v>341</v>
      </c>
      <c r="T39" s="7" t="s">
        <v>114</v>
      </c>
      <c r="U39" s="44"/>
      <c r="V39" s="43" t="s">
        <v>120</v>
      </c>
      <c r="W39" s="44">
        <v>46023</v>
      </c>
      <c r="X39" s="24">
        <v>170</v>
      </c>
      <c r="Y39" s="3" t="s">
        <v>128</v>
      </c>
    </row>
    <row r="40" spans="2:25" ht="39.950000000000003" customHeight="1">
      <c r="B40" s="84"/>
      <c r="C40" s="12" t="s">
        <v>34</v>
      </c>
      <c r="D40" s="7"/>
      <c r="E40" s="43" t="s">
        <v>123</v>
      </c>
      <c r="F40" s="44">
        <v>45453</v>
      </c>
      <c r="G40" s="24" t="str">
        <f t="shared" ca="1" si="4"/>
        <v>기간 만료</v>
      </c>
      <c r="H40" s="2" t="s">
        <v>154</v>
      </c>
      <c r="I40" s="2" t="s">
        <v>167</v>
      </c>
      <c r="J40" s="106" t="s">
        <v>263</v>
      </c>
      <c r="K40" s="106"/>
      <c r="L40" s="57">
        <f t="shared" si="1"/>
        <v>45818</v>
      </c>
      <c r="N40" t="s">
        <v>342</v>
      </c>
      <c r="T40" s="7" t="s">
        <v>115</v>
      </c>
      <c r="U40" s="44">
        <v>45625</v>
      </c>
      <c r="V40" s="43" t="s">
        <v>120</v>
      </c>
      <c r="W40" s="44">
        <v>46023</v>
      </c>
      <c r="X40" s="24">
        <v>170</v>
      </c>
      <c r="Y40" s="3" t="s">
        <v>213</v>
      </c>
    </row>
    <row r="41" spans="2:25" ht="39.950000000000003" customHeight="1">
      <c r="B41" s="84"/>
      <c r="C41" s="12" t="s">
        <v>35</v>
      </c>
      <c r="D41" s="7"/>
      <c r="E41" s="43" t="s">
        <v>123</v>
      </c>
      <c r="F41" s="44">
        <v>45726</v>
      </c>
      <c r="G41" s="24" t="str">
        <f t="shared" ca="1" si="4"/>
        <v>기간 만료</v>
      </c>
      <c r="H41" s="2" t="s">
        <v>128</v>
      </c>
      <c r="I41" s="2"/>
      <c r="J41" s="106"/>
      <c r="K41" s="106"/>
      <c r="L41" s="57">
        <f t="shared" si="1"/>
        <v>46091</v>
      </c>
      <c r="N41" t="s">
        <v>343</v>
      </c>
      <c r="T41" s="6" t="s">
        <v>116</v>
      </c>
      <c r="U41" s="8"/>
      <c r="V41" s="43" t="s">
        <v>120</v>
      </c>
      <c r="W41" s="44">
        <v>46023</v>
      </c>
      <c r="X41" s="24">
        <v>170</v>
      </c>
      <c r="Y41" s="3" t="s">
        <v>128</v>
      </c>
    </row>
    <row r="42" spans="2:25" ht="39.950000000000003" customHeight="1">
      <c r="B42" s="84"/>
      <c r="C42" s="12" t="s">
        <v>36</v>
      </c>
      <c r="D42" s="7"/>
      <c r="E42" s="43" t="s">
        <v>123</v>
      </c>
      <c r="F42" s="44">
        <v>45722</v>
      </c>
      <c r="G42" s="24" t="str">
        <f t="shared" ca="1" si="4"/>
        <v>기간 만료</v>
      </c>
      <c r="H42" s="2" t="s">
        <v>168</v>
      </c>
      <c r="I42" s="2"/>
      <c r="J42" s="106"/>
      <c r="K42" s="106"/>
      <c r="L42" s="57">
        <f t="shared" si="1"/>
        <v>46087</v>
      </c>
      <c r="N42" t="s">
        <v>344</v>
      </c>
      <c r="T42" s="7" t="s">
        <v>32</v>
      </c>
      <c r="U42" s="7"/>
      <c r="V42" s="43" t="s">
        <v>120</v>
      </c>
      <c r="W42" s="44">
        <v>46031</v>
      </c>
      <c r="X42" s="24">
        <v>178</v>
      </c>
      <c r="Y42" s="2" t="s">
        <v>165</v>
      </c>
    </row>
    <row r="43" spans="2:25" ht="39.950000000000003" customHeight="1">
      <c r="B43" s="84"/>
      <c r="C43" s="12" t="s">
        <v>37</v>
      </c>
      <c r="D43" s="7"/>
      <c r="E43" s="43" t="s">
        <v>123</v>
      </c>
      <c r="F43" s="44">
        <v>45569</v>
      </c>
      <c r="G43" s="24" t="str">
        <f t="shared" ca="1" si="4"/>
        <v>기간 만료</v>
      </c>
      <c r="H43" s="2" t="s">
        <v>169</v>
      </c>
      <c r="I43" s="2"/>
      <c r="J43" s="106"/>
      <c r="K43" s="106"/>
      <c r="L43" s="57">
        <f t="shared" si="1"/>
        <v>45934</v>
      </c>
      <c r="N43" t="s">
        <v>345</v>
      </c>
      <c r="T43" s="7" t="s">
        <v>23</v>
      </c>
      <c r="U43" s="8"/>
      <c r="V43" s="43" t="s">
        <v>120</v>
      </c>
      <c r="W43" s="44">
        <v>46032</v>
      </c>
      <c r="X43" s="24">
        <v>179</v>
      </c>
      <c r="Y43" s="3" t="s">
        <v>154</v>
      </c>
    </row>
    <row r="44" spans="2:25" ht="39.950000000000003" customHeight="1">
      <c r="B44" s="84"/>
      <c r="C44" s="6" t="s">
        <v>38</v>
      </c>
      <c r="D44" s="7"/>
      <c r="E44" s="43" t="s">
        <v>120</v>
      </c>
      <c r="F44" s="8">
        <v>45988</v>
      </c>
      <c r="G44" s="24">
        <f t="shared" ca="1" si="4"/>
        <v>134</v>
      </c>
      <c r="H44" s="28" t="s">
        <v>148</v>
      </c>
      <c r="I44" s="28" t="s">
        <v>170</v>
      </c>
      <c r="J44" s="108" t="s">
        <v>264</v>
      </c>
      <c r="K44" s="108"/>
      <c r="L44" s="57">
        <f t="shared" si="1"/>
        <v>46353</v>
      </c>
      <c r="N44" t="s">
        <v>346</v>
      </c>
      <c r="T44" s="7" t="s">
        <v>78</v>
      </c>
      <c r="U44" s="44">
        <v>45659</v>
      </c>
      <c r="V44" s="43" t="s">
        <v>120</v>
      </c>
      <c r="W44" s="44">
        <v>46038</v>
      </c>
      <c r="X44" s="24">
        <v>185</v>
      </c>
      <c r="Y44" s="3" t="s">
        <v>208</v>
      </c>
    </row>
    <row r="45" spans="2:25" ht="39.950000000000003" customHeight="1">
      <c r="B45" s="84"/>
      <c r="C45" s="6" t="s">
        <v>39</v>
      </c>
      <c r="D45" s="7"/>
      <c r="E45" s="43" t="s">
        <v>120</v>
      </c>
      <c r="F45" s="8">
        <v>46203</v>
      </c>
      <c r="G45" s="24">
        <f t="shared" ca="1" si="4"/>
        <v>349</v>
      </c>
      <c r="H45" s="28" t="s">
        <v>165</v>
      </c>
      <c r="I45" s="28" t="s">
        <v>171</v>
      </c>
      <c r="J45" s="109" t="s">
        <v>265</v>
      </c>
      <c r="K45" s="109"/>
      <c r="L45" s="57">
        <f t="shared" si="1"/>
        <v>46568</v>
      </c>
      <c r="N45" t="s">
        <v>347</v>
      </c>
      <c r="T45" s="7" t="s">
        <v>113</v>
      </c>
      <c r="U45" s="44"/>
      <c r="V45" s="43" t="s">
        <v>120</v>
      </c>
      <c r="W45" s="44">
        <v>46056</v>
      </c>
      <c r="X45" s="24">
        <v>203</v>
      </c>
      <c r="Y45" s="3" t="s">
        <v>210</v>
      </c>
    </row>
    <row r="46" spans="2:25" ht="39.950000000000003" customHeight="1">
      <c r="B46" s="84"/>
      <c r="C46" s="7" t="s">
        <v>40</v>
      </c>
      <c r="D46" s="7"/>
      <c r="E46" s="43" t="s">
        <v>120</v>
      </c>
      <c r="F46" s="44">
        <v>45931</v>
      </c>
      <c r="G46" s="24">
        <f t="shared" ca="1" si="4"/>
        <v>77</v>
      </c>
      <c r="H46" s="23" t="s">
        <v>172</v>
      </c>
      <c r="I46" s="23" t="s">
        <v>173</v>
      </c>
      <c r="J46" s="106" t="s">
        <v>266</v>
      </c>
      <c r="K46" s="106"/>
      <c r="L46" s="57">
        <f t="shared" si="1"/>
        <v>46296</v>
      </c>
      <c r="N46" t="s">
        <v>348</v>
      </c>
      <c r="T46" s="6" t="s">
        <v>46</v>
      </c>
      <c r="U46" s="44"/>
      <c r="V46" s="43" t="s">
        <v>120</v>
      </c>
      <c r="W46" s="44">
        <v>46080</v>
      </c>
      <c r="X46" s="24">
        <v>227</v>
      </c>
      <c r="Y46" s="3" t="s">
        <v>165</v>
      </c>
    </row>
    <row r="47" spans="2:25" ht="39.950000000000003" customHeight="1">
      <c r="B47" s="84"/>
      <c r="C47" s="7" t="s">
        <v>41</v>
      </c>
      <c r="D47" s="44">
        <v>45824</v>
      </c>
      <c r="E47" s="43" t="s">
        <v>123</v>
      </c>
      <c r="F47" s="44">
        <v>45362</v>
      </c>
      <c r="G47" s="24" t="str">
        <f t="shared" ca="1" si="4"/>
        <v>기간 만료</v>
      </c>
      <c r="H47" s="23" t="s">
        <v>135</v>
      </c>
      <c r="I47" s="23" t="s">
        <v>174</v>
      </c>
      <c r="J47" s="106" t="s">
        <v>267</v>
      </c>
      <c r="K47" s="106"/>
      <c r="L47" s="57">
        <f t="shared" si="1"/>
        <v>45727</v>
      </c>
      <c r="N47" t="s">
        <v>349</v>
      </c>
      <c r="T47" s="7" t="s">
        <v>69</v>
      </c>
      <c r="U47" s="44">
        <v>45679</v>
      </c>
      <c r="V47" s="43" t="s">
        <v>120</v>
      </c>
      <c r="W47" s="44">
        <v>46098</v>
      </c>
      <c r="X47" s="24">
        <v>245</v>
      </c>
      <c r="Y47" s="3" t="s">
        <v>165</v>
      </c>
    </row>
    <row r="48" spans="2:25" ht="39.950000000000003" customHeight="1">
      <c r="B48" s="84"/>
      <c r="C48" s="7" t="s">
        <v>42</v>
      </c>
      <c r="D48" s="44">
        <v>45763</v>
      </c>
      <c r="E48" s="43" t="s">
        <v>120</v>
      </c>
      <c r="F48" s="44">
        <v>45785</v>
      </c>
      <c r="G48" s="24" t="str">
        <f t="shared" ca="1" si="4"/>
        <v>기간 만료</v>
      </c>
      <c r="H48" s="23" t="s">
        <v>148</v>
      </c>
      <c r="I48" s="23"/>
      <c r="J48" s="106"/>
      <c r="K48" s="106"/>
      <c r="L48" s="57">
        <f t="shared" si="1"/>
        <v>46150</v>
      </c>
      <c r="N48" t="s">
        <v>350</v>
      </c>
      <c r="T48" s="7" t="s">
        <v>72</v>
      </c>
      <c r="U48" s="44"/>
      <c r="V48" s="43" t="s">
        <v>120</v>
      </c>
      <c r="W48" s="44">
        <v>46114</v>
      </c>
      <c r="X48" s="24">
        <v>261</v>
      </c>
      <c r="Y48" s="3" t="s">
        <v>148</v>
      </c>
    </row>
    <row r="49" spans="2:37" ht="39.950000000000003" customHeight="1">
      <c r="B49" s="85"/>
      <c r="C49" s="7" t="s">
        <v>43</v>
      </c>
      <c r="D49" s="44"/>
      <c r="E49" s="43" t="s">
        <v>120</v>
      </c>
      <c r="F49" s="44">
        <v>46135</v>
      </c>
      <c r="G49" s="24">
        <f t="shared" ca="1" si="4"/>
        <v>281</v>
      </c>
      <c r="H49" s="3" t="s">
        <v>175</v>
      </c>
      <c r="I49" s="23"/>
      <c r="J49" s="106"/>
      <c r="K49" s="106"/>
      <c r="L49" s="57">
        <f t="shared" si="1"/>
        <v>46500</v>
      </c>
      <c r="N49" t="s">
        <v>351</v>
      </c>
      <c r="T49" s="7" t="s">
        <v>11</v>
      </c>
      <c r="U49" s="44"/>
      <c r="V49" s="43" t="s">
        <v>120</v>
      </c>
      <c r="W49" s="44">
        <v>46118</v>
      </c>
      <c r="X49" s="24">
        <v>265</v>
      </c>
      <c r="Y49" s="3" t="s">
        <v>130</v>
      </c>
    </row>
    <row r="50" spans="2:37" ht="39.950000000000003" customHeight="1">
      <c r="B50" s="13" t="s">
        <v>88</v>
      </c>
      <c r="C50" s="7" t="s">
        <v>44</v>
      </c>
      <c r="D50" s="44"/>
      <c r="E50" s="43" t="s">
        <v>123</v>
      </c>
      <c r="F50" s="44"/>
      <c r="G50" s="24" t="str">
        <f t="shared" ca="1" si="4"/>
        <v>미등록</v>
      </c>
      <c r="H50" s="3" t="s">
        <v>176</v>
      </c>
      <c r="I50" s="3"/>
      <c r="J50" s="106" t="s">
        <v>268</v>
      </c>
      <c r="K50" s="106"/>
      <c r="L50" s="57" t="str">
        <f t="shared" si="1"/>
        <v/>
      </c>
      <c r="N50" t="s">
        <v>352</v>
      </c>
      <c r="T50" s="7" t="s">
        <v>17</v>
      </c>
      <c r="U50" s="8"/>
      <c r="V50" s="46" t="s">
        <v>120</v>
      </c>
      <c r="W50" s="44">
        <v>46128</v>
      </c>
      <c r="X50" s="24">
        <v>275</v>
      </c>
      <c r="Y50" s="3" t="s">
        <v>128</v>
      </c>
    </row>
    <row r="51" spans="2:37" ht="39.950000000000003" customHeight="1">
      <c r="B51" s="14" t="s">
        <v>89</v>
      </c>
      <c r="C51" s="6" t="s">
        <v>45</v>
      </c>
      <c r="D51" s="44"/>
      <c r="E51" s="43" t="s">
        <v>120</v>
      </c>
      <c r="F51" s="44">
        <v>45775</v>
      </c>
      <c r="G51" s="24" t="str">
        <f t="shared" ca="1" si="4"/>
        <v>기간 만료</v>
      </c>
      <c r="H51" s="3" t="s">
        <v>133</v>
      </c>
      <c r="I51" s="3" t="s">
        <v>177</v>
      </c>
      <c r="J51" s="106" t="s">
        <v>269</v>
      </c>
      <c r="K51" s="106"/>
      <c r="L51" s="57">
        <f t="shared" si="1"/>
        <v>46140</v>
      </c>
      <c r="T51" s="7" t="s">
        <v>43</v>
      </c>
      <c r="U51" s="44"/>
      <c r="V51" s="43" t="s">
        <v>120</v>
      </c>
      <c r="W51" s="44">
        <v>46135</v>
      </c>
      <c r="X51" s="24">
        <v>282</v>
      </c>
      <c r="Y51" s="3" t="s">
        <v>175</v>
      </c>
    </row>
    <row r="52" spans="2:37" ht="39.950000000000003" customHeight="1">
      <c r="B52" s="15" t="s">
        <v>90</v>
      </c>
      <c r="C52" s="7" t="s">
        <v>106</v>
      </c>
      <c r="D52" s="44"/>
      <c r="E52" s="43" t="s">
        <v>120</v>
      </c>
      <c r="F52" s="44">
        <f>$O$6</f>
        <v>46023</v>
      </c>
      <c r="G52" s="24">
        <f t="shared" ca="1" si="4"/>
        <v>169</v>
      </c>
      <c r="H52" s="3" t="s">
        <v>128</v>
      </c>
      <c r="I52" s="3" t="s">
        <v>178</v>
      </c>
      <c r="J52" s="107" t="s">
        <v>270</v>
      </c>
      <c r="K52" s="107"/>
      <c r="L52" s="57">
        <f t="shared" si="1"/>
        <v>46388</v>
      </c>
      <c r="T52" s="7" t="s">
        <v>59</v>
      </c>
      <c r="U52" s="44"/>
      <c r="V52" s="43" t="s">
        <v>120</v>
      </c>
      <c r="W52" s="44">
        <v>46141</v>
      </c>
      <c r="X52" s="24">
        <v>288</v>
      </c>
      <c r="Y52" s="3" t="s">
        <v>165</v>
      </c>
    </row>
    <row r="53" spans="2:37" ht="39.950000000000003" customHeight="1">
      <c r="B53" s="10" t="s">
        <v>91</v>
      </c>
      <c r="C53" s="6" t="s">
        <v>107</v>
      </c>
      <c r="D53" s="44"/>
      <c r="E53" s="43" t="s">
        <v>120</v>
      </c>
      <c r="F53" s="8">
        <f>$O$6</f>
        <v>46023</v>
      </c>
      <c r="G53" s="24">
        <f t="shared" ca="1" si="4"/>
        <v>169</v>
      </c>
      <c r="H53" s="3" t="s">
        <v>128</v>
      </c>
      <c r="I53" s="3" t="s">
        <v>179</v>
      </c>
      <c r="J53" s="110" t="s">
        <v>271</v>
      </c>
      <c r="K53" s="106"/>
      <c r="L53" s="57">
        <f t="shared" si="1"/>
        <v>46388</v>
      </c>
      <c r="T53" s="6" t="s">
        <v>60</v>
      </c>
      <c r="U53" s="44"/>
      <c r="V53" s="43" t="s">
        <v>120</v>
      </c>
      <c r="W53" s="44">
        <v>46141</v>
      </c>
      <c r="X53" s="24">
        <v>288</v>
      </c>
      <c r="Y53" s="3" t="s">
        <v>165</v>
      </c>
    </row>
    <row r="54" spans="2:37" ht="39.950000000000003" customHeight="1">
      <c r="B54" s="86" t="s">
        <v>92</v>
      </c>
      <c r="C54" s="6" t="s">
        <v>46</v>
      </c>
      <c r="D54" s="44"/>
      <c r="E54" s="43" t="s">
        <v>120</v>
      </c>
      <c r="F54" s="44">
        <v>46080</v>
      </c>
      <c r="G54" s="24">
        <f t="shared" ca="1" si="4"/>
        <v>226</v>
      </c>
      <c r="H54" s="3" t="s">
        <v>165</v>
      </c>
      <c r="I54" s="3" t="s">
        <v>180</v>
      </c>
      <c r="J54" s="108" t="s">
        <v>272</v>
      </c>
      <c r="K54" s="108"/>
      <c r="L54" s="57">
        <f t="shared" si="1"/>
        <v>46445</v>
      </c>
      <c r="T54" s="6" t="s">
        <v>77</v>
      </c>
      <c r="U54" s="8"/>
      <c r="V54" s="43" t="s">
        <v>120</v>
      </c>
      <c r="W54" s="44">
        <v>46163</v>
      </c>
      <c r="X54" s="24">
        <v>310</v>
      </c>
      <c r="Y54" s="3" t="s">
        <v>165</v>
      </c>
    </row>
    <row r="55" spans="2:37" ht="39.950000000000003" customHeight="1">
      <c r="B55" s="87"/>
      <c r="C55" s="6" t="s">
        <v>47</v>
      </c>
      <c r="D55" s="44"/>
      <c r="E55" s="43" t="s">
        <v>120</v>
      </c>
      <c r="F55" s="44">
        <v>45912</v>
      </c>
      <c r="G55" s="24">
        <f t="shared" ca="1" si="4"/>
        <v>58</v>
      </c>
      <c r="H55" s="3" t="s">
        <v>165</v>
      </c>
      <c r="I55" s="3" t="s">
        <v>181</v>
      </c>
      <c r="J55" s="106" t="s">
        <v>273</v>
      </c>
      <c r="K55" s="106"/>
      <c r="L55" s="57">
        <f t="shared" si="1"/>
        <v>46277</v>
      </c>
      <c r="T55" s="7" t="s">
        <v>51</v>
      </c>
      <c r="U55" s="8"/>
      <c r="V55" s="43" t="s">
        <v>120</v>
      </c>
      <c r="W55" s="44">
        <v>46164</v>
      </c>
      <c r="X55" s="24">
        <v>311</v>
      </c>
      <c r="Y55" s="3" t="s">
        <v>165</v>
      </c>
    </row>
    <row r="56" spans="2:37" ht="39.950000000000003" customHeight="1">
      <c r="B56" s="87"/>
      <c r="C56" s="6" t="s">
        <v>48</v>
      </c>
      <c r="D56" s="8">
        <v>45926</v>
      </c>
      <c r="E56" s="46" t="s">
        <v>123</v>
      </c>
      <c r="F56" s="44"/>
      <c r="G56" s="24" t="str">
        <f t="shared" ca="1" si="4"/>
        <v>미등록</v>
      </c>
      <c r="H56" s="3" t="s">
        <v>135</v>
      </c>
      <c r="I56" s="3" t="s">
        <v>182</v>
      </c>
      <c r="J56" s="106" t="s">
        <v>274</v>
      </c>
      <c r="K56" s="106"/>
      <c r="L56" s="57" t="str">
        <f t="shared" si="1"/>
        <v/>
      </c>
      <c r="T56" s="6" t="s">
        <v>16</v>
      </c>
      <c r="U56" s="8"/>
      <c r="V56" s="46" t="s">
        <v>120</v>
      </c>
      <c r="W56" s="44">
        <v>46188</v>
      </c>
      <c r="X56" s="24">
        <v>335</v>
      </c>
      <c r="Y56" s="3" t="s">
        <v>138</v>
      </c>
    </row>
    <row r="57" spans="2:37" ht="39.950000000000003" customHeight="1">
      <c r="B57" s="87"/>
      <c r="C57" s="6" t="s">
        <v>49</v>
      </c>
      <c r="D57" s="8">
        <v>45908</v>
      </c>
      <c r="E57" s="46" t="s">
        <v>120</v>
      </c>
      <c r="F57" s="44">
        <v>45949</v>
      </c>
      <c r="G57" s="24">
        <f t="shared" ca="1" si="4"/>
        <v>95</v>
      </c>
      <c r="H57" s="3" t="s">
        <v>165</v>
      </c>
      <c r="I57" s="3"/>
      <c r="J57" s="106"/>
      <c r="K57" s="106"/>
      <c r="L57" s="57">
        <f t="shared" si="1"/>
        <v>46314</v>
      </c>
      <c r="T57" s="6" t="s">
        <v>39</v>
      </c>
      <c r="U57" s="7"/>
      <c r="V57" s="43" t="s">
        <v>120</v>
      </c>
      <c r="W57" s="8">
        <v>46203</v>
      </c>
      <c r="X57" s="24">
        <v>350</v>
      </c>
      <c r="Y57" s="28" t="s">
        <v>165</v>
      </c>
    </row>
    <row r="58" spans="2:37" ht="39.950000000000003" customHeight="1">
      <c r="B58" s="87"/>
      <c r="C58" s="6" t="s">
        <v>50</v>
      </c>
      <c r="D58" s="8"/>
      <c r="E58" s="46" t="s">
        <v>120</v>
      </c>
      <c r="F58" s="44">
        <v>45961</v>
      </c>
      <c r="G58" s="24">
        <f t="shared" ca="1" si="4"/>
        <v>107</v>
      </c>
      <c r="H58" s="3" t="s">
        <v>165</v>
      </c>
      <c r="I58" s="3" t="s">
        <v>183</v>
      </c>
      <c r="J58" s="106" t="s">
        <v>275</v>
      </c>
      <c r="K58" s="106"/>
      <c r="L58" s="57">
        <f t="shared" si="1"/>
        <v>46326</v>
      </c>
      <c r="T58" s="7" t="s">
        <v>24</v>
      </c>
      <c r="U58" s="44">
        <v>45796</v>
      </c>
      <c r="V58" s="43" t="s">
        <v>120</v>
      </c>
      <c r="W58" s="44">
        <v>46206</v>
      </c>
      <c r="X58" s="24">
        <v>353</v>
      </c>
      <c r="Y58" s="3" t="s">
        <v>154</v>
      </c>
    </row>
    <row r="59" spans="2:37" ht="39.950000000000003" customHeight="1">
      <c r="B59" s="87"/>
      <c r="C59" s="7" t="s">
        <v>51</v>
      </c>
      <c r="D59" s="8"/>
      <c r="E59" s="43" t="s">
        <v>120</v>
      </c>
      <c r="F59" s="44">
        <v>46164</v>
      </c>
      <c r="G59" s="24">
        <f t="shared" ca="1" si="4"/>
        <v>310</v>
      </c>
      <c r="H59" s="3" t="s">
        <v>165</v>
      </c>
      <c r="I59" s="3"/>
      <c r="J59" s="106"/>
      <c r="K59" s="106"/>
      <c r="L59" s="57">
        <f t="shared" si="1"/>
        <v>46529</v>
      </c>
      <c r="T59" s="6" t="s">
        <v>64</v>
      </c>
      <c r="U59" s="8"/>
      <c r="V59" s="43" t="s">
        <v>120</v>
      </c>
      <c r="W59" s="44">
        <v>45175</v>
      </c>
      <c r="X59" s="24" t="s">
        <v>311</v>
      </c>
      <c r="Y59" s="28" t="s">
        <v>191</v>
      </c>
    </row>
    <row r="60" spans="2:37" ht="39.950000000000003" customHeight="1">
      <c r="B60" s="87"/>
      <c r="C60" s="7" t="s">
        <v>52</v>
      </c>
      <c r="D60" s="8"/>
      <c r="E60" s="43"/>
      <c r="F60" s="44"/>
      <c r="G60" s="24" t="str">
        <f t="shared" ca="1" si="4"/>
        <v>미등록</v>
      </c>
      <c r="H60" s="3" t="s">
        <v>165</v>
      </c>
      <c r="I60" s="3" t="s">
        <v>184</v>
      </c>
      <c r="J60" s="106" t="s">
        <v>276</v>
      </c>
      <c r="K60" s="106"/>
      <c r="L60" s="57" t="str">
        <f t="shared" si="1"/>
        <v/>
      </c>
      <c r="T60" s="6" t="s">
        <v>54</v>
      </c>
      <c r="U60" s="8"/>
      <c r="V60" s="43" t="s">
        <v>120</v>
      </c>
      <c r="W60" s="44">
        <v>45299</v>
      </c>
      <c r="X60" s="24" t="s">
        <v>311</v>
      </c>
      <c r="Y60" s="3" t="s">
        <v>186</v>
      </c>
      <c r="AK60" s="121"/>
    </row>
    <row r="61" spans="2:37" ht="39.950000000000003" customHeight="1">
      <c r="B61" s="87"/>
      <c r="C61" s="6" t="s">
        <v>53</v>
      </c>
      <c r="D61" s="8"/>
      <c r="E61" s="43" t="s">
        <v>120</v>
      </c>
      <c r="F61" s="44">
        <v>46023</v>
      </c>
      <c r="G61" s="24">
        <f t="shared" ca="1" si="4"/>
        <v>169</v>
      </c>
      <c r="H61" s="3" t="s">
        <v>185</v>
      </c>
      <c r="I61" s="3" t="s">
        <v>184</v>
      </c>
      <c r="J61" s="106"/>
      <c r="K61" s="106"/>
      <c r="L61" s="57">
        <f t="shared" si="1"/>
        <v>46388</v>
      </c>
      <c r="T61" s="7" t="s">
        <v>41</v>
      </c>
      <c r="U61" s="44">
        <v>45824</v>
      </c>
      <c r="V61" s="43" t="s">
        <v>123</v>
      </c>
      <c r="W61" s="44">
        <v>45362</v>
      </c>
      <c r="X61" s="24" t="s">
        <v>311</v>
      </c>
      <c r="Y61" s="23" t="s">
        <v>135</v>
      </c>
    </row>
    <row r="62" spans="2:37" ht="39.950000000000003" customHeight="1">
      <c r="B62" s="87"/>
      <c r="C62" s="6" t="s">
        <v>54</v>
      </c>
      <c r="D62" s="8"/>
      <c r="E62" s="43" t="s">
        <v>120</v>
      </c>
      <c r="F62" s="44">
        <v>45299</v>
      </c>
      <c r="G62" s="24" t="str">
        <f t="shared" ca="1" si="4"/>
        <v>기간 만료</v>
      </c>
      <c r="H62" s="3" t="s">
        <v>186</v>
      </c>
      <c r="I62" s="3" t="s">
        <v>187</v>
      </c>
      <c r="J62" s="107" t="s">
        <v>277</v>
      </c>
      <c r="K62" s="107"/>
      <c r="L62" s="57">
        <f t="shared" si="1"/>
        <v>45664</v>
      </c>
      <c r="T62" s="7" t="s">
        <v>26</v>
      </c>
      <c r="U62" s="44">
        <v>45807</v>
      </c>
      <c r="V62" s="43" t="s">
        <v>123</v>
      </c>
      <c r="W62" s="44">
        <v>45387</v>
      </c>
      <c r="X62" s="24" t="s">
        <v>311</v>
      </c>
      <c r="Y62" s="3" t="s">
        <v>157</v>
      </c>
    </row>
    <row r="63" spans="2:37" ht="39.950000000000003" customHeight="1">
      <c r="B63" s="87"/>
      <c r="C63" s="6" t="s">
        <v>55</v>
      </c>
      <c r="D63" s="8"/>
      <c r="E63" s="46" t="s">
        <v>120</v>
      </c>
      <c r="F63" s="44">
        <v>45971</v>
      </c>
      <c r="G63" s="24">
        <f t="shared" ca="1" si="4"/>
        <v>117</v>
      </c>
      <c r="H63" s="3" t="s">
        <v>186</v>
      </c>
      <c r="I63" s="3"/>
      <c r="J63" s="107"/>
      <c r="K63" s="107"/>
      <c r="L63" s="57">
        <f t="shared" si="1"/>
        <v>46336</v>
      </c>
      <c r="T63" s="7" t="s">
        <v>57</v>
      </c>
      <c r="U63" s="44"/>
      <c r="V63" s="43" t="s">
        <v>120</v>
      </c>
      <c r="W63" s="44">
        <v>45397</v>
      </c>
      <c r="X63" s="24" t="s">
        <v>311</v>
      </c>
      <c r="Y63" s="3" t="s">
        <v>165</v>
      </c>
    </row>
    <row r="64" spans="2:37" ht="39.950000000000003" customHeight="1">
      <c r="B64" s="87"/>
      <c r="C64" s="6" t="s">
        <v>56</v>
      </c>
      <c r="D64" s="8">
        <v>45805</v>
      </c>
      <c r="E64" s="46" t="s">
        <v>120</v>
      </c>
      <c r="F64" s="44">
        <v>45827</v>
      </c>
      <c r="G64" s="24" t="str">
        <f t="shared" ca="1" si="4"/>
        <v>기간 만료</v>
      </c>
      <c r="H64" s="3" t="s">
        <v>165</v>
      </c>
      <c r="I64" s="3"/>
      <c r="J64" s="107"/>
      <c r="K64" s="107"/>
      <c r="L64" s="57">
        <f t="shared" si="1"/>
        <v>46192</v>
      </c>
      <c r="T64" s="12" t="s">
        <v>34</v>
      </c>
      <c r="U64" s="7"/>
      <c r="V64" s="43" t="s">
        <v>123</v>
      </c>
      <c r="W64" s="44">
        <v>45453</v>
      </c>
      <c r="X64" s="24" t="s">
        <v>311</v>
      </c>
      <c r="Y64" s="2" t="s">
        <v>154</v>
      </c>
    </row>
    <row r="65" spans="2:25" ht="39.950000000000003" customHeight="1">
      <c r="B65" s="87"/>
      <c r="C65" s="7" t="s">
        <v>57</v>
      </c>
      <c r="D65" s="44"/>
      <c r="E65" s="43" t="s">
        <v>120</v>
      </c>
      <c r="F65" s="44">
        <v>45397</v>
      </c>
      <c r="G65" s="24" t="str">
        <f t="shared" ca="1" si="4"/>
        <v>기간 만료</v>
      </c>
      <c r="H65" s="3" t="s">
        <v>165</v>
      </c>
      <c r="I65" s="3"/>
      <c r="J65" s="107"/>
      <c r="K65" s="107"/>
      <c r="L65" s="57">
        <f t="shared" si="1"/>
        <v>45762</v>
      </c>
      <c r="T65" s="12" t="s">
        <v>37</v>
      </c>
      <c r="U65" s="7"/>
      <c r="V65" s="43" t="s">
        <v>123</v>
      </c>
      <c r="W65" s="44">
        <v>45569</v>
      </c>
      <c r="X65" s="24" t="s">
        <v>311</v>
      </c>
      <c r="Y65" s="2" t="s">
        <v>169</v>
      </c>
    </row>
    <row r="66" spans="2:25" ht="39.950000000000003" customHeight="1">
      <c r="B66" s="87"/>
      <c r="C66" s="7" t="s">
        <v>58</v>
      </c>
      <c r="D66" s="44"/>
      <c r="E66" s="43" t="s">
        <v>120</v>
      </c>
      <c r="F66" s="44">
        <v>45742</v>
      </c>
      <c r="G66" s="24" t="str">
        <f t="shared" ca="1" si="4"/>
        <v>기간 만료</v>
      </c>
      <c r="H66" s="3" t="s">
        <v>165</v>
      </c>
      <c r="I66" s="3"/>
      <c r="J66" s="107"/>
      <c r="K66" s="107"/>
      <c r="L66" s="57">
        <f t="shared" si="1"/>
        <v>46107</v>
      </c>
      <c r="T66" s="6" t="s">
        <v>62</v>
      </c>
      <c r="U66" s="8"/>
      <c r="V66" s="43" t="s">
        <v>120</v>
      </c>
      <c r="W66" s="44">
        <v>45594</v>
      </c>
      <c r="X66" s="24" t="s">
        <v>311</v>
      </c>
      <c r="Y66" s="3" t="s">
        <v>189</v>
      </c>
    </row>
    <row r="67" spans="2:25" ht="39.950000000000003" customHeight="1">
      <c r="B67" s="87"/>
      <c r="C67" s="7" t="s">
        <v>59</v>
      </c>
      <c r="D67" s="44"/>
      <c r="E67" s="43" t="s">
        <v>120</v>
      </c>
      <c r="F67" s="44">
        <v>46141</v>
      </c>
      <c r="G67" s="24">
        <f t="shared" ref="G67:G98" ca="1" si="5">IFERROR(IF($L67-$R$3&lt;0,"기간 만료",$L67-$R$3),"미등록")</f>
        <v>287</v>
      </c>
      <c r="H67" s="3" t="s">
        <v>165</v>
      </c>
      <c r="I67" s="3"/>
      <c r="J67" s="107"/>
      <c r="K67" s="107"/>
      <c r="L67" s="57">
        <f t="shared" si="1"/>
        <v>46506</v>
      </c>
      <c r="T67" s="6" t="s">
        <v>63</v>
      </c>
      <c r="U67" s="8"/>
      <c r="V67" s="43" t="s">
        <v>120</v>
      </c>
      <c r="W67" s="44">
        <v>45631</v>
      </c>
      <c r="X67" s="24" t="s">
        <v>311</v>
      </c>
      <c r="Y67" s="28" t="s">
        <v>190</v>
      </c>
    </row>
    <row r="68" spans="2:25" ht="39.950000000000003" customHeight="1">
      <c r="B68" s="87"/>
      <c r="C68" s="6" t="s">
        <v>60</v>
      </c>
      <c r="D68" s="44"/>
      <c r="E68" s="43" t="s">
        <v>120</v>
      </c>
      <c r="F68" s="44">
        <v>46141</v>
      </c>
      <c r="G68" s="24">
        <f t="shared" ca="1" si="5"/>
        <v>287</v>
      </c>
      <c r="H68" s="3" t="s">
        <v>165</v>
      </c>
      <c r="I68" s="3"/>
      <c r="J68" s="106" t="s">
        <v>278</v>
      </c>
      <c r="K68" s="106"/>
      <c r="L68" s="57">
        <f t="shared" ref="L68:L99" si="6">IF($F68+365=365,"",$F68+365)</f>
        <v>46506</v>
      </c>
      <c r="T68" s="6" t="s">
        <v>22</v>
      </c>
      <c r="U68" s="8"/>
      <c r="V68" s="43" t="s">
        <v>120</v>
      </c>
      <c r="W68" s="47">
        <v>45659</v>
      </c>
      <c r="X68" s="24" t="s">
        <v>311</v>
      </c>
      <c r="Y68" s="3"/>
    </row>
    <row r="69" spans="2:25" ht="39.950000000000003" customHeight="1">
      <c r="B69" s="88"/>
      <c r="C69" s="6" t="s">
        <v>108</v>
      </c>
      <c r="D69" s="44"/>
      <c r="E69" s="43" t="s">
        <v>120</v>
      </c>
      <c r="F69" s="48">
        <f>$O$6</f>
        <v>46023</v>
      </c>
      <c r="G69" s="24">
        <f t="shared" ca="1" si="5"/>
        <v>169</v>
      </c>
      <c r="H69" s="3" t="s">
        <v>128</v>
      </c>
      <c r="I69" s="52"/>
      <c r="J69" s="109" t="s">
        <v>279</v>
      </c>
      <c r="K69" s="109"/>
      <c r="L69" s="57">
        <f t="shared" si="6"/>
        <v>46388</v>
      </c>
      <c r="T69" s="7" t="s">
        <v>73</v>
      </c>
      <c r="U69" s="44">
        <v>45643</v>
      </c>
      <c r="V69" s="43" t="s">
        <v>120</v>
      </c>
      <c r="W69" s="44">
        <v>45674</v>
      </c>
      <c r="X69" s="24" t="s">
        <v>311</v>
      </c>
      <c r="Y69" s="3" t="s">
        <v>201</v>
      </c>
    </row>
    <row r="70" spans="2:25" ht="39.950000000000003" customHeight="1">
      <c r="B70" s="89" t="s">
        <v>93</v>
      </c>
      <c r="C70" s="6" t="s">
        <v>61</v>
      </c>
      <c r="D70" s="8">
        <v>45378</v>
      </c>
      <c r="E70" s="43" t="s">
        <v>123</v>
      </c>
      <c r="F70" s="44"/>
      <c r="G70" s="24" t="str">
        <f t="shared" ca="1" si="5"/>
        <v>미등록</v>
      </c>
      <c r="H70" s="3"/>
      <c r="I70" s="3" t="s">
        <v>188</v>
      </c>
      <c r="J70" s="106" t="s">
        <v>280</v>
      </c>
      <c r="K70" s="106"/>
      <c r="L70" s="57" t="str">
        <f t="shared" si="6"/>
        <v/>
      </c>
      <c r="T70" s="12" t="s">
        <v>36</v>
      </c>
      <c r="U70" s="7"/>
      <c r="V70" s="43" t="s">
        <v>123</v>
      </c>
      <c r="W70" s="44">
        <v>45722</v>
      </c>
      <c r="X70" s="24" t="s">
        <v>311</v>
      </c>
      <c r="Y70" s="2" t="s">
        <v>168</v>
      </c>
    </row>
    <row r="71" spans="2:25" ht="39.950000000000003" customHeight="1">
      <c r="B71" s="90"/>
      <c r="C71" s="6" t="s">
        <v>62</v>
      </c>
      <c r="D71" s="8"/>
      <c r="E71" s="43" t="s">
        <v>120</v>
      </c>
      <c r="F71" s="44">
        <v>45594</v>
      </c>
      <c r="G71" s="24" t="str">
        <f t="shared" ca="1" si="5"/>
        <v>기간 만료</v>
      </c>
      <c r="H71" s="3" t="s">
        <v>189</v>
      </c>
      <c r="I71" s="3"/>
      <c r="J71" s="106"/>
      <c r="K71" s="106"/>
      <c r="L71" s="57">
        <f t="shared" si="6"/>
        <v>45959</v>
      </c>
      <c r="T71" s="12" t="s">
        <v>35</v>
      </c>
      <c r="U71" s="7"/>
      <c r="V71" s="43" t="s">
        <v>123</v>
      </c>
      <c r="W71" s="44">
        <v>45726</v>
      </c>
      <c r="X71" s="24" t="s">
        <v>311</v>
      </c>
      <c r="Y71" s="2" t="s">
        <v>128</v>
      </c>
    </row>
    <row r="72" spans="2:25" ht="39.950000000000003" customHeight="1">
      <c r="B72" s="90"/>
      <c r="C72" s="6" t="s">
        <v>63</v>
      </c>
      <c r="D72" s="8"/>
      <c r="E72" s="43" t="s">
        <v>120</v>
      </c>
      <c r="F72" s="44">
        <v>45631</v>
      </c>
      <c r="G72" s="24" t="str">
        <f t="shared" ca="1" si="5"/>
        <v>기간 만료</v>
      </c>
      <c r="H72" s="28" t="s">
        <v>190</v>
      </c>
      <c r="I72" s="3"/>
      <c r="J72" s="106"/>
      <c r="K72" s="106"/>
      <c r="L72" s="57">
        <f t="shared" si="6"/>
        <v>45996</v>
      </c>
      <c r="T72" s="7" t="s">
        <v>58</v>
      </c>
      <c r="U72" s="44"/>
      <c r="V72" s="43" t="s">
        <v>120</v>
      </c>
      <c r="W72" s="44">
        <v>45742</v>
      </c>
      <c r="X72" s="24" t="s">
        <v>311</v>
      </c>
      <c r="Y72" s="3" t="s">
        <v>165</v>
      </c>
    </row>
    <row r="73" spans="2:25" ht="39.950000000000003" customHeight="1">
      <c r="B73" s="91"/>
      <c r="C73" s="6" t="s">
        <v>64</v>
      </c>
      <c r="D73" s="8"/>
      <c r="E73" s="43" t="s">
        <v>120</v>
      </c>
      <c r="F73" s="44">
        <v>45175</v>
      </c>
      <c r="G73" s="24" t="str">
        <f t="shared" ca="1" si="5"/>
        <v>기간 만료</v>
      </c>
      <c r="H73" s="28" t="s">
        <v>191</v>
      </c>
      <c r="I73" s="28" t="s">
        <v>192</v>
      </c>
      <c r="J73" s="106" t="s">
        <v>281</v>
      </c>
      <c r="K73" s="106"/>
      <c r="L73" s="57">
        <f t="shared" si="6"/>
        <v>45540</v>
      </c>
      <c r="T73" s="6" t="s">
        <v>6</v>
      </c>
      <c r="U73" s="6"/>
      <c r="V73" s="43" t="s">
        <v>120</v>
      </c>
      <c r="W73" s="44">
        <v>45749</v>
      </c>
      <c r="X73" s="24" t="s">
        <v>311</v>
      </c>
      <c r="Y73" s="25" t="s">
        <v>121</v>
      </c>
    </row>
    <row r="74" spans="2:25" ht="39.950000000000003" customHeight="1">
      <c r="B74" s="92" t="s">
        <v>94</v>
      </c>
      <c r="C74" s="6" t="s">
        <v>65</v>
      </c>
      <c r="D74" s="8"/>
      <c r="E74" s="43" t="s">
        <v>123</v>
      </c>
      <c r="F74" s="44"/>
      <c r="G74" s="24" t="str">
        <f t="shared" ca="1" si="5"/>
        <v>미등록</v>
      </c>
      <c r="H74" s="3" t="s">
        <v>193</v>
      </c>
      <c r="I74" s="3"/>
      <c r="J74" s="106" t="s">
        <v>282</v>
      </c>
      <c r="K74" s="106"/>
      <c r="L74" s="57" t="str">
        <f t="shared" si="6"/>
        <v/>
      </c>
      <c r="T74" s="6" t="s">
        <v>45</v>
      </c>
      <c r="U74" s="44"/>
      <c r="V74" s="43" t="s">
        <v>120</v>
      </c>
      <c r="W74" s="44">
        <v>45775</v>
      </c>
      <c r="X74" s="24" t="s">
        <v>311</v>
      </c>
      <c r="Y74" s="3" t="s">
        <v>133</v>
      </c>
    </row>
    <row r="75" spans="2:25" ht="39.950000000000003" customHeight="1">
      <c r="B75" s="93"/>
      <c r="C75" s="6" t="s">
        <v>66</v>
      </c>
      <c r="D75" s="8"/>
      <c r="E75" s="43" t="s">
        <v>123</v>
      </c>
      <c r="F75" s="44"/>
      <c r="G75" s="24" t="str">
        <f t="shared" ca="1" si="5"/>
        <v>미등록</v>
      </c>
      <c r="H75" s="3" t="s">
        <v>194</v>
      </c>
      <c r="I75" s="3"/>
      <c r="J75" s="106" t="s">
        <v>283</v>
      </c>
      <c r="K75" s="106"/>
      <c r="L75" s="57" t="str">
        <f t="shared" si="6"/>
        <v/>
      </c>
      <c r="T75" s="7" t="s">
        <v>42</v>
      </c>
      <c r="U75" s="44">
        <v>45763</v>
      </c>
      <c r="V75" s="43" t="s">
        <v>120</v>
      </c>
      <c r="W75" s="44">
        <v>45785</v>
      </c>
      <c r="X75" s="24" t="s">
        <v>311</v>
      </c>
      <c r="Y75" s="23" t="s">
        <v>148</v>
      </c>
    </row>
    <row r="76" spans="2:25" ht="39.950000000000003" customHeight="1">
      <c r="B76" s="93"/>
      <c r="C76" s="6" t="s">
        <v>67</v>
      </c>
      <c r="D76" s="8">
        <v>45859</v>
      </c>
      <c r="E76" s="43" t="s">
        <v>120</v>
      </c>
      <c r="F76" s="44">
        <v>45883</v>
      </c>
      <c r="G76" s="24">
        <f t="shared" ca="1" si="5"/>
        <v>29</v>
      </c>
      <c r="H76" s="3" t="s">
        <v>195</v>
      </c>
      <c r="I76" s="3" t="s">
        <v>196</v>
      </c>
      <c r="J76" s="106" t="s">
        <v>284</v>
      </c>
      <c r="K76" s="106"/>
      <c r="L76" s="57">
        <f t="shared" si="6"/>
        <v>46248</v>
      </c>
      <c r="T76" s="6" t="s">
        <v>18</v>
      </c>
      <c r="U76" s="8"/>
      <c r="V76" s="43" t="s">
        <v>120</v>
      </c>
      <c r="W76" s="8">
        <v>45817</v>
      </c>
      <c r="X76" s="24" t="s">
        <v>311</v>
      </c>
      <c r="Y76" s="2" t="s">
        <v>128</v>
      </c>
    </row>
    <row r="77" spans="2:25" ht="39.950000000000003" customHeight="1">
      <c r="B77" s="93"/>
      <c r="C77" s="6" t="s">
        <v>68</v>
      </c>
      <c r="D77" s="8">
        <v>45793</v>
      </c>
      <c r="E77" s="43" t="s">
        <v>120</v>
      </c>
      <c r="F77" s="44">
        <v>45819</v>
      </c>
      <c r="G77" s="24" t="str">
        <f t="shared" ca="1" si="5"/>
        <v>기간 만료</v>
      </c>
      <c r="H77" s="3" t="s">
        <v>133</v>
      </c>
      <c r="I77" s="3" t="s">
        <v>196</v>
      </c>
      <c r="J77" s="106" t="s">
        <v>285</v>
      </c>
      <c r="K77" s="106"/>
      <c r="L77" s="57">
        <f t="shared" si="6"/>
        <v>46184</v>
      </c>
      <c r="T77" s="6" t="s">
        <v>68</v>
      </c>
      <c r="U77" s="8">
        <v>45793</v>
      </c>
      <c r="V77" s="43" t="s">
        <v>120</v>
      </c>
      <c r="W77" s="44">
        <v>45819</v>
      </c>
      <c r="X77" s="24" t="s">
        <v>311</v>
      </c>
      <c r="Y77" s="3" t="s">
        <v>133</v>
      </c>
    </row>
    <row r="78" spans="2:25" ht="39.950000000000003" customHeight="1">
      <c r="B78" s="93"/>
      <c r="C78" s="7" t="s">
        <v>69</v>
      </c>
      <c r="D78" s="44">
        <v>45679</v>
      </c>
      <c r="E78" s="43" t="s">
        <v>120</v>
      </c>
      <c r="F78" s="44">
        <v>46098</v>
      </c>
      <c r="G78" s="24">
        <f t="shared" ca="1" si="5"/>
        <v>244</v>
      </c>
      <c r="H78" s="3" t="s">
        <v>165</v>
      </c>
      <c r="I78" s="3" t="s">
        <v>196</v>
      </c>
      <c r="J78" s="106" t="s">
        <v>286</v>
      </c>
      <c r="K78" s="106"/>
      <c r="L78" s="57">
        <f t="shared" si="6"/>
        <v>46463</v>
      </c>
      <c r="T78" s="6" t="s">
        <v>56</v>
      </c>
      <c r="U78" s="8">
        <v>45805</v>
      </c>
      <c r="V78" s="46" t="s">
        <v>120</v>
      </c>
      <c r="W78" s="44">
        <v>45827</v>
      </c>
      <c r="X78" s="24" t="s">
        <v>311</v>
      </c>
      <c r="Y78" s="3" t="s">
        <v>165</v>
      </c>
    </row>
    <row r="79" spans="2:25" ht="39.950000000000003" customHeight="1">
      <c r="B79" s="93"/>
      <c r="C79" s="7" t="s">
        <v>109</v>
      </c>
      <c r="D79" s="7"/>
      <c r="E79" s="43" t="s">
        <v>120</v>
      </c>
      <c r="F79" s="44">
        <f>$O$6</f>
        <v>46023</v>
      </c>
      <c r="G79" s="24">
        <f t="shared" ca="1" si="5"/>
        <v>169</v>
      </c>
      <c r="H79" s="3" t="s">
        <v>197</v>
      </c>
      <c r="I79" s="3" t="s">
        <v>196</v>
      </c>
      <c r="J79" s="106" t="s">
        <v>287</v>
      </c>
      <c r="K79" s="106"/>
      <c r="L79" s="57">
        <f t="shared" si="6"/>
        <v>46388</v>
      </c>
      <c r="T79" s="7" t="s">
        <v>75</v>
      </c>
      <c r="U79" s="8">
        <v>45827</v>
      </c>
      <c r="V79" s="43" t="s">
        <v>120</v>
      </c>
      <c r="W79" s="44">
        <v>45839</v>
      </c>
      <c r="X79" s="24" t="s">
        <v>311</v>
      </c>
      <c r="Y79" s="25" t="s">
        <v>169</v>
      </c>
    </row>
    <row r="80" spans="2:25" ht="39.950000000000003" customHeight="1">
      <c r="B80" s="93"/>
      <c r="C80" s="7" t="s">
        <v>70</v>
      </c>
      <c r="D80" s="7"/>
      <c r="E80" s="43" t="s">
        <v>120</v>
      </c>
      <c r="F80" s="44">
        <v>45946</v>
      </c>
      <c r="G80" s="24">
        <f t="shared" ca="1" si="5"/>
        <v>92</v>
      </c>
      <c r="H80" s="3" t="s">
        <v>148</v>
      </c>
      <c r="I80" s="3" t="s">
        <v>198</v>
      </c>
      <c r="J80" s="106" t="s">
        <v>288</v>
      </c>
      <c r="K80" s="106"/>
      <c r="L80" s="57">
        <f t="shared" si="6"/>
        <v>46311</v>
      </c>
      <c r="T80" s="6" t="s">
        <v>76</v>
      </c>
      <c r="U80" s="8"/>
      <c r="V80" s="43" t="s">
        <v>120</v>
      </c>
      <c r="W80" s="44">
        <v>45852</v>
      </c>
      <c r="X80" s="24" t="s">
        <v>311</v>
      </c>
      <c r="Y80" s="3" t="s">
        <v>121</v>
      </c>
    </row>
    <row r="81" spans="2:25" ht="39.950000000000003" customHeight="1">
      <c r="B81" s="93"/>
      <c r="C81" s="7" t="s">
        <v>110</v>
      </c>
      <c r="D81" s="7"/>
      <c r="E81" s="43" t="s">
        <v>120</v>
      </c>
      <c r="F81" s="44">
        <f>$O$6</f>
        <v>46023</v>
      </c>
      <c r="G81" s="24">
        <f t="shared" ca="1" si="5"/>
        <v>169</v>
      </c>
      <c r="H81" s="3" t="s">
        <v>148</v>
      </c>
      <c r="I81" s="3" t="s">
        <v>199</v>
      </c>
      <c r="J81" s="108" t="s">
        <v>289</v>
      </c>
      <c r="K81" s="108"/>
      <c r="L81" s="57">
        <f t="shared" si="6"/>
        <v>46388</v>
      </c>
      <c r="T81" s="7" t="s">
        <v>7</v>
      </c>
      <c r="U81" s="8">
        <v>45859</v>
      </c>
      <c r="V81" s="43" t="s">
        <v>123</v>
      </c>
      <c r="W81" s="44"/>
      <c r="X81" s="24" t="s">
        <v>312</v>
      </c>
      <c r="Y81" s="26" t="s">
        <v>124</v>
      </c>
    </row>
    <row r="82" spans="2:25" ht="39.950000000000003" customHeight="1">
      <c r="B82" s="93"/>
      <c r="C82" s="7" t="s">
        <v>71</v>
      </c>
      <c r="D82" s="44">
        <v>45841</v>
      </c>
      <c r="E82" s="43" t="s">
        <v>120</v>
      </c>
      <c r="F82" s="44">
        <v>45870</v>
      </c>
      <c r="G82" s="24">
        <f t="shared" ca="1" si="5"/>
        <v>16</v>
      </c>
      <c r="H82" s="3" t="s">
        <v>191</v>
      </c>
      <c r="I82" s="3" t="s">
        <v>199</v>
      </c>
      <c r="J82" s="108" t="s">
        <v>290</v>
      </c>
      <c r="K82" s="108"/>
      <c r="L82" s="57">
        <f t="shared" si="6"/>
        <v>46235</v>
      </c>
      <c r="T82" s="7" t="s">
        <v>13</v>
      </c>
      <c r="U82" s="8">
        <v>45863</v>
      </c>
      <c r="V82" s="43" t="s">
        <v>123</v>
      </c>
      <c r="W82" s="44"/>
      <c r="X82" s="24" t="s">
        <v>312</v>
      </c>
      <c r="Y82" s="3" t="s">
        <v>135</v>
      </c>
    </row>
    <row r="83" spans="2:25" ht="39.950000000000003" customHeight="1">
      <c r="B83" s="93"/>
      <c r="C83" s="7" t="s">
        <v>72</v>
      </c>
      <c r="D83" s="44"/>
      <c r="E83" s="43" t="s">
        <v>120</v>
      </c>
      <c r="F83" s="44">
        <v>46114</v>
      </c>
      <c r="G83" s="24">
        <f t="shared" ca="1" si="5"/>
        <v>260</v>
      </c>
      <c r="H83" s="3" t="s">
        <v>148</v>
      </c>
      <c r="I83" s="3" t="s">
        <v>199</v>
      </c>
      <c r="J83" s="106" t="s">
        <v>291</v>
      </c>
      <c r="K83" s="106"/>
      <c r="L83" s="57">
        <f t="shared" si="6"/>
        <v>46479</v>
      </c>
      <c r="T83" s="6" t="s">
        <v>19</v>
      </c>
      <c r="U83" s="8"/>
      <c r="V83" s="43" t="s">
        <v>123</v>
      </c>
      <c r="W83" s="44"/>
      <c r="X83" s="24" t="s">
        <v>312</v>
      </c>
      <c r="Y83" s="27"/>
    </row>
    <row r="84" spans="2:25" ht="39.950000000000003" customHeight="1">
      <c r="B84" s="93"/>
      <c r="C84" s="6" t="s">
        <v>111</v>
      </c>
      <c r="D84" s="44"/>
      <c r="E84" s="43" t="s">
        <v>120</v>
      </c>
      <c r="F84" s="44">
        <f>$O$6</f>
        <v>46023</v>
      </c>
      <c r="G84" s="24">
        <f t="shared" ca="1" si="5"/>
        <v>169</v>
      </c>
      <c r="H84" s="3" t="s">
        <v>128</v>
      </c>
      <c r="I84" s="3" t="s">
        <v>200</v>
      </c>
      <c r="J84" s="108" t="s">
        <v>292</v>
      </c>
      <c r="K84" s="108"/>
      <c r="L84" s="57">
        <f t="shared" si="6"/>
        <v>46388</v>
      </c>
      <c r="T84" s="7" t="s">
        <v>25</v>
      </c>
      <c r="U84" s="44">
        <v>44880</v>
      </c>
      <c r="V84" s="43" t="s">
        <v>123</v>
      </c>
      <c r="W84" s="44"/>
      <c r="X84" s="24" t="s">
        <v>312</v>
      </c>
      <c r="Y84" s="3" t="s">
        <v>157</v>
      </c>
    </row>
    <row r="85" spans="2:25" ht="39.950000000000003" customHeight="1">
      <c r="B85" s="93"/>
      <c r="C85" s="7" t="s">
        <v>73</v>
      </c>
      <c r="D85" s="44">
        <v>45643</v>
      </c>
      <c r="E85" s="43" t="s">
        <v>120</v>
      </c>
      <c r="F85" s="44">
        <v>45674</v>
      </c>
      <c r="G85" s="24" t="str">
        <f t="shared" ca="1" si="5"/>
        <v>기간 만료</v>
      </c>
      <c r="H85" s="3" t="s">
        <v>201</v>
      </c>
      <c r="I85" s="3" t="s">
        <v>202</v>
      </c>
      <c r="J85" s="106" t="s">
        <v>293</v>
      </c>
      <c r="K85" s="106"/>
      <c r="L85" s="57">
        <f t="shared" si="6"/>
        <v>46039</v>
      </c>
      <c r="T85" s="7" t="s">
        <v>27</v>
      </c>
      <c r="U85" s="44">
        <v>45341</v>
      </c>
      <c r="V85" s="43" t="s">
        <v>123</v>
      </c>
      <c r="W85" s="44"/>
      <c r="X85" s="24" t="s">
        <v>312</v>
      </c>
      <c r="Y85" s="3" t="s">
        <v>157</v>
      </c>
    </row>
    <row r="86" spans="2:25" ht="39.950000000000003" customHeight="1">
      <c r="B86" s="93"/>
      <c r="C86" s="7" t="s">
        <v>74</v>
      </c>
      <c r="D86" s="7"/>
      <c r="E86" s="43" t="s">
        <v>123</v>
      </c>
      <c r="F86" s="44"/>
      <c r="G86" s="24" t="str">
        <f t="shared" ca="1" si="5"/>
        <v>미등록</v>
      </c>
      <c r="H86" s="3"/>
      <c r="I86" s="3" t="s">
        <v>203</v>
      </c>
      <c r="J86" s="106" t="s">
        <v>294</v>
      </c>
      <c r="K86" s="106"/>
      <c r="L86" s="57" t="str">
        <f t="shared" si="6"/>
        <v/>
      </c>
      <c r="T86" s="7" t="s">
        <v>28</v>
      </c>
      <c r="U86" s="44">
        <v>45443</v>
      </c>
      <c r="V86" s="43" t="s">
        <v>123</v>
      </c>
      <c r="W86" s="44"/>
      <c r="X86" s="24" t="s">
        <v>312</v>
      </c>
      <c r="Y86" s="3" t="s">
        <v>157</v>
      </c>
    </row>
    <row r="87" spans="2:25" ht="39.950000000000003" customHeight="1">
      <c r="B87" s="93"/>
      <c r="C87" s="7" t="s">
        <v>112</v>
      </c>
      <c r="D87" s="7"/>
      <c r="E87" s="43" t="s">
        <v>120</v>
      </c>
      <c r="F87" s="44">
        <f>$O$6</f>
        <v>46023</v>
      </c>
      <c r="G87" s="24">
        <f t="shared" ca="1" si="5"/>
        <v>169</v>
      </c>
      <c r="H87" s="3" t="s">
        <v>128</v>
      </c>
      <c r="I87" s="3" t="s">
        <v>204</v>
      </c>
      <c r="J87" s="106" t="s">
        <v>295</v>
      </c>
      <c r="K87" s="106"/>
      <c r="L87" s="57">
        <f t="shared" si="6"/>
        <v>46388</v>
      </c>
      <c r="T87" s="7" t="s">
        <v>29</v>
      </c>
      <c r="U87" s="44"/>
      <c r="V87" s="43" t="s">
        <v>123</v>
      </c>
      <c r="W87" s="44"/>
      <c r="X87" s="24" t="s">
        <v>312</v>
      </c>
      <c r="Y87" s="3" t="s">
        <v>161</v>
      </c>
    </row>
    <row r="88" spans="2:25" ht="39.950000000000003" customHeight="1">
      <c r="B88" s="93"/>
      <c r="C88" s="7" t="s">
        <v>75</v>
      </c>
      <c r="D88" s="8">
        <v>45827</v>
      </c>
      <c r="E88" s="43" t="s">
        <v>120</v>
      </c>
      <c r="F88" s="44">
        <v>45839</v>
      </c>
      <c r="G88" s="24" t="str">
        <f t="shared" ca="1" si="5"/>
        <v>기간 만료</v>
      </c>
      <c r="H88" s="25" t="s">
        <v>169</v>
      </c>
      <c r="I88" s="25" t="s">
        <v>205</v>
      </c>
      <c r="J88" s="45" t="s">
        <v>297</v>
      </c>
      <c r="K88" s="45" t="s">
        <v>296</v>
      </c>
      <c r="L88" s="57">
        <f t="shared" si="6"/>
        <v>46204</v>
      </c>
      <c r="T88" s="7" t="s">
        <v>30</v>
      </c>
      <c r="U88" s="44">
        <v>45485</v>
      </c>
      <c r="V88" s="43" t="s">
        <v>123</v>
      </c>
      <c r="W88" s="44"/>
      <c r="X88" s="24" t="s">
        <v>312</v>
      </c>
      <c r="Y88" s="3" t="s">
        <v>157</v>
      </c>
    </row>
    <row r="89" spans="2:25" ht="39.950000000000003" customHeight="1">
      <c r="B89" s="93"/>
      <c r="C89" s="6" t="s">
        <v>76</v>
      </c>
      <c r="D89" s="8"/>
      <c r="E89" s="43" t="s">
        <v>120</v>
      </c>
      <c r="F89" s="44">
        <v>45852</v>
      </c>
      <c r="G89" s="24" t="str">
        <f t="shared" ca="1" si="5"/>
        <v>기간 만료</v>
      </c>
      <c r="H89" s="3" t="s">
        <v>121</v>
      </c>
      <c r="I89" s="3" t="s">
        <v>206</v>
      </c>
      <c r="J89" s="106" t="s">
        <v>298</v>
      </c>
      <c r="K89" s="106"/>
      <c r="L89" s="57">
        <f t="shared" si="6"/>
        <v>46217</v>
      </c>
      <c r="T89" s="7" t="s">
        <v>31</v>
      </c>
      <c r="U89" s="7"/>
      <c r="V89" s="43" t="s">
        <v>123</v>
      </c>
      <c r="W89" s="44"/>
      <c r="X89" s="24" t="s">
        <v>312</v>
      </c>
      <c r="Y89" s="3" t="s">
        <v>157</v>
      </c>
    </row>
    <row r="90" spans="2:25" ht="39.950000000000003" customHeight="1">
      <c r="B90" s="93"/>
      <c r="C90" s="6" t="s">
        <v>77</v>
      </c>
      <c r="D90" s="8"/>
      <c r="E90" s="43" t="s">
        <v>120</v>
      </c>
      <c r="F90" s="44">
        <v>46163</v>
      </c>
      <c r="G90" s="24">
        <f t="shared" ca="1" si="5"/>
        <v>309</v>
      </c>
      <c r="H90" s="3" t="s">
        <v>165</v>
      </c>
      <c r="I90" s="3" t="s">
        <v>207</v>
      </c>
      <c r="J90" s="106" t="s">
        <v>299</v>
      </c>
      <c r="K90" s="106"/>
      <c r="L90" s="57">
        <f t="shared" si="6"/>
        <v>46528</v>
      </c>
      <c r="T90" s="7" t="s">
        <v>44</v>
      </c>
      <c r="U90" s="44"/>
      <c r="V90" s="43" t="s">
        <v>123</v>
      </c>
      <c r="W90" s="44"/>
      <c r="X90" s="24" t="s">
        <v>312</v>
      </c>
      <c r="Y90" s="3" t="s">
        <v>176</v>
      </c>
    </row>
    <row r="91" spans="2:25" ht="39.950000000000003" customHeight="1">
      <c r="B91" s="94"/>
      <c r="C91" s="7" t="s">
        <v>78</v>
      </c>
      <c r="D91" s="44">
        <v>45659</v>
      </c>
      <c r="E91" s="43" t="s">
        <v>120</v>
      </c>
      <c r="F91" s="44">
        <v>46038</v>
      </c>
      <c r="G91" s="24">
        <f t="shared" ca="1" si="5"/>
        <v>184</v>
      </c>
      <c r="H91" s="3" t="s">
        <v>208</v>
      </c>
      <c r="I91" s="3" t="s">
        <v>209</v>
      </c>
      <c r="J91" s="107" t="s">
        <v>300</v>
      </c>
      <c r="K91" s="107"/>
      <c r="L91" s="57">
        <f t="shared" si="6"/>
        <v>46403</v>
      </c>
      <c r="T91" s="6" t="s">
        <v>48</v>
      </c>
      <c r="U91" s="8">
        <v>45926</v>
      </c>
      <c r="V91" s="46" t="s">
        <v>123</v>
      </c>
      <c r="W91" s="44"/>
      <c r="X91" s="24" t="s">
        <v>312</v>
      </c>
      <c r="Y91" s="3" t="s">
        <v>135</v>
      </c>
    </row>
    <row r="92" spans="2:25" ht="39.950000000000003" customHeight="1">
      <c r="B92" s="95" t="s">
        <v>95</v>
      </c>
      <c r="C92" s="7" t="s">
        <v>113</v>
      </c>
      <c r="D92" s="44"/>
      <c r="E92" s="43" t="s">
        <v>120</v>
      </c>
      <c r="F92" s="44">
        <v>46056</v>
      </c>
      <c r="G92" s="24">
        <f t="shared" ca="1" si="5"/>
        <v>202</v>
      </c>
      <c r="H92" s="3" t="s">
        <v>210</v>
      </c>
      <c r="I92" s="3" t="s">
        <v>211</v>
      </c>
      <c r="J92" s="106" t="s">
        <v>301</v>
      </c>
      <c r="K92" s="106"/>
      <c r="L92" s="57">
        <f t="shared" si="6"/>
        <v>46421</v>
      </c>
      <c r="T92" s="7" t="s">
        <v>52</v>
      </c>
      <c r="U92" s="8"/>
      <c r="V92" s="43" t="s">
        <v>120</v>
      </c>
      <c r="W92" s="44"/>
      <c r="X92" s="24" t="s">
        <v>312</v>
      </c>
      <c r="Y92" s="3" t="s">
        <v>165</v>
      </c>
    </row>
    <row r="93" spans="2:25" ht="39.950000000000003" customHeight="1">
      <c r="B93" s="96"/>
      <c r="C93" s="7" t="s">
        <v>114</v>
      </c>
      <c r="D93" s="44"/>
      <c r="E93" s="43" t="s">
        <v>120</v>
      </c>
      <c r="F93" s="44">
        <f>$O$6</f>
        <v>46023</v>
      </c>
      <c r="G93" s="24">
        <f t="shared" ca="1" si="5"/>
        <v>169</v>
      </c>
      <c r="H93" s="3" t="s">
        <v>128</v>
      </c>
      <c r="I93" s="3" t="s">
        <v>212</v>
      </c>
      <c r="J93" s="51" t="s">
        <v>302</v>
      </c>
      <c r="K93" s="51" t="s">
        <v>303</v>
      </c>
      <c r="L93" s="57">
        <f t="shared" si="6"/>
        <v>46388</v>
      </c>
      <c r="T93" s="6" t="s">
        <v>61</v>
      </c>
      <c r="U93" s="8">
        <v>45378</v>
      </c>
      <c r="V93" s="43" t="s">
        <v>123</v>
      </c>
      <c r="W93" s="44"/>
      <c r="X93" s="24" t="s">
        <v>312</v>
      </c>
      <c r="Y93" s="3"/>
    </row>
    <row r="94" spans="2:25" ht="39.950000000000003" customHeight="1">
      <c r="B94" s="96"/>
      <c r="C94" s="16" t="s">
        <v>115</v>
      </c>
      <c r="D94" s="44">
        <v>45625</v>
      </c>
      <c r="E94" s="43" t="s">
        <v>120</v>
      </c>
      <c r="F94" s="44">
        <f>$O$6</f>
        <v>46023</v>
      </c>
      <c r="G94" s="24">
        <f t="shared" ca="1" si="5"/>
        <v>169</v>
      </c>
      <c r="H94" s="3" t="s">
        <v>213</v>
      </c>
      <c r="I94" s="3" t="s">
        <v>214</v>
      </c>
      <c r="J94" s="106" t="s">
        <v>304</v>
      </c>
      <c r="K94" s="106"/>
      <c r="L94" s="57">
        <f t="shared" si="6"/>
        <v>46388</v>
      </c>
      <c r="T94" s="32" t="s">
        <v>65</v>
      </c>
      <c r="U94" s="8"/>
      <c r="V94" s="43" t="s">
        <v>123</v>
      </c>
      <c r="W94" s="44"/>
      <c r="X94" s="24" t="s">
        <v>312</v>
      </c>
      <c r="Y94" s="3" t="s">
        <v>193</v>
      </c>
    </row>
    <row r="95" spans="2:25" ht="39.950000000000003" customHeight="1">
      <c r="B95" s="96"/>
      <c r="C95" s="16" t="s">
        <v>79</v>
      </c>
      <c r="D95" s="44"/>
      <c r="E95" s="43" t="s">
        <v>120</v>
      </c>
      <c r="F95" s="44">
        <v>45869</v>
      </c>
      <c r="G95" s="24">
        <f t="shared" ca="1" si="5"/>
        <v>15</v>
      </c>
      <c r="H95" s="3" t="s">
        <v>133</v>
      </c>
      <c r="I95" s="3" t="s">
        <v>215</v>
      </c>
      <c r="J95" s="106" t="s">
        <v>305</v>
      </c>
      <c r="K95" s="106"/>
      <c r="L95" s="57">
        <f t="shared" si="6"/>
        <v>46234</v>
      </c>
      <c r="T95" s="32" t="s">
        <v>66</v>
      </c>
      <c r="U95" s="8"/>
      <c r="V95" s="43" t="s">
        <v>123</v>
      </c>
      <c r="W95" s="44"/>
      <c r="X95" s="24" t="s">
        <v>312</v>
      </c>
      <c r="Y95" s="3" t="s">
        <v>194</v>
      </c>
    </row>
    <row r="96" spans="2:25" ht="39.950000000000003" customHeight="1">
      <c r="B96" s="97"/>
      <c r="C96" s="6" t="s">
        <v>116</v>
      </c>
      <c r="D96" s="8"/>
      <c r="E96" s="43" t="s">
        <v>120</v>
      </c>
      <c r="F96" s="44">
        <f>$O$6</f>
        <v>46023</v>
      </c>
      <c r="G96" s="24">
        <f t="shared" ca="1" si="5"/>
        <v>169</v>
      </c>
      <c r="H96" s="3" t="s">
        <v>128</v>
      </c>
      <c r="I96" s="3" t="s">
        <v>216</v>
      </c>
      <c r="J96" s="106" t="s">
        <v>306</v>
      </c>
      <c r="K96" s="106"/>
      <c r="L96" s="57">
        <f t="shared" si="6"/>
        <v>46388</v>
      </c>
      <c r="T96" s="7" t="s">
        <v>74</v>
      </c>
      <c r="U96" s="7"/>
      <c r="V96" s="43" t="s">
        <v>123</v>
      </c>
      <c r="W96" s="44"/>
      <c r="X96" s="24" t="s">
        <v>312</v>
      </c>
      <c r="Y96" s="3"/>
    </row>
    <row r="97" spans="1:26" ht="39.950000000000003" customHeight="1">
      <c r="B97" s="76" t="s">
        <v>96</v>
      </c>
      <c r="C97" s="6" t="s">
        <v>80</v>
      </c>
      <c r="D97" s="66">
        <v>45994</v>
      </c>
      <c r="E97" s="43"/>
      <c r="F97" s="44"/>
      <c r="G97" s="24" t="str">
        <f t="shared" ca="1" si="5"/>
        <v>미등록</v>
      </c>
      <c r="H97" s="3"/>
      <c r="I97" s="3" t="s">
        <v>217</v>
      </c>
      <c r="J97" s="106" t="s">
        <v>307</v>
      </c>
      <c r="K97" s="106"/>
      <c r="L97" s="57" t="str">
        <f t="shared" si="6"/>
        <v/>
      </c>
      <c r="T97" s="6" t="s">
        <v>80</v>
      </c>
      <c r="U97" s="66">
        <v>45994</v>
      </c>
      <c r="V97" s="43"/>
      <c r="W97" s="44"/>
      <c r="X97" s="24" t="s">
        <v>312</v>
      </c>
      <c r="Y97" s="3"/>
    </row>
    <row r="98" spans="1:26" ht="39.950000000000003" customHeight="1">
      <c r="B98" s="76"/>
      <c r="C98" s="6" t="s">
        <v>81</v>
      </c>
      <c r="D98" s="66">
        <v>45923</v>
      </c>
      <c r="E98" s="43"/>
      <c r="F98" s="44"/>
      <c r="G98" s="24" t="str">
        <f t="shared" ca="1" si="5"/>
        <v>미등록</v>
      </c>
      <c r="H98" s="3"/>
      <c r="I98" s="3" t="s">
        <v>217</v>
      </c>
      <c r="J98" s="106"/>
      <c r="K98" s="106"/>
      <c r="L98" s="57" t="str">
        <f t="shared" si="6"/>
        <v/>
      </c>
      <c r="T98" s="6" t="s">
        <v>81</v>
      </c>
      <c r="U98" s="66">
        <v>45923</v>
      </c>
      <c r="V98" s="43"/>
      <c r="W98" s="44"/>
      <c r="X98" s="24" t="s">
        <v>312</v>
      </c>
      <c r="Y98" s="3"/>
    </row>
    <row r="99" spans="1:26" s="18" customFormat="1" ht="39.950000000000003" customHeight="1">
      <c r="A99" s="22"/>
      <c r="B99" s="5"/>
      <c r="C99" s="5"/>
      <c r="D99" s="19"/>
      <c r="E99" s="43"/>
      <c r="F99" s="44"/>
      <c r="G99" s="24"/>
      <c r="H99" s="3"/>
      <c r="I99" s="5"/>
      <c r="J99" s="111"/>
      <c r="K99" s="111"/>
      <c r="L99" s="57" t="str">
        <f t="shared" si="6"/>
        <v/>
      </c>
      <c r="M99" s="20"/>
      <c r="R99" s="42"/>
      <c r="S99" s="31"/>
      <c r="T99" s="40"/>
      <c r="Y99" s="5"/>
      <c r="Z99" s="20"/>
    </row>
    <row r="100" spans="1:26" s="20" customFormat="1" ht="39.950000000000003" customHeight="1">
      <c r="L100" s="54"/>
    </row>
    <row r="101" spans="1:26" s="20" customFormat="1" ht="39.950000000000003" customHeight="1">
      <c r="L101" s="54"/>
    </row>
    <row r="102" spans="1:26" s="20" customFormat="1" ht="39.950000000000003" customHeight="1">
      <c r="L102" s="54"/>
    </row>
    <row r="103" spans="1:26" s="20" customFormat="1" ht="39.950000000000003" customHeight="1">
      <c r="L103" s="54"/>
    </row>
    <row r="104" spans="1:26" s="20" customFormat="1" ht="39.950000000000003" customHeight="1">
      <c r="L104" s="54"/>
    </row>
    <row r="105" spans="1:26" s="20" customFormat="1" ht="39.950000000000003" customHeight="1">
      <c r="L105" s="54"/>
    </row>
    <row r="106" spans="1:26" s="20" customFormat="1" ht="39.950000000000003" customHeight="1">
      <c r="L106" s="54"/>
    </row>
    <row r="107" spans="1:26" s="20" customFormat="1" ht="39.950000000000003" customHeight="1">
      <c r="L107" s="54"/>
    </row>
    <row r="108" spans="1:26" s="20" customFormat="1" ht="39.950000000000003" customHeight="1">
      <c r="L108" s="54"/>
    </row>
    <row r="109" spans="1:26" s="20" customFormat="1" ht="39.950000000000003" customHeight="1">
      <c r="L109" s="54"/>
    </row>
    <row r="110" spans="1:26" s="20" customFormat="1" ht="39.950000000000003" customHeight="1">
      <c r="L110" s="54"/>
    </row>
    <row r="111" spans="1:26" s="20" customFormat="1" ht="39.950000000000003" customHeight="1">
      <c r="L111" s="54"/>
    </row>
    <row r="112" spans="1:26" s="20" customFormat="1" ht="39.950000000000003" customHeight="1">
      <c r="L112" s="54"/>
    </row>
    <row r="113" spans="12:12" s="20" customFormat="1" ht="39.950000000000003" customHeight="1">
      <c r="L113" s="54"/>
    </row>
    <row r="114" spans="12:12" s="20" customFormat="1" ht="39.950000000000003" customHeight="1">
      <c r="L114" s="54"/>
    </row>
    <row r="115" spans="12:12" s="20" customFormat="1" ht="39.950000000000003" customHeight="1">
      <c r="L115" s="54"/>
    </row>
    <row r="116" spans="12:12" s="20" customFormat="1" ht="39.950000000000003" customHeight="1">
      <c r="L116" s="54"/>
    </row>
    <row r="117" spans="12:12" s="20" customFormat="1" ht="39.950000000000003" customHeight="1">
      <c r="L117" s="54"/>
    </row>
    <row r="118" spans="12:12" s="20" customFormat="1" ht="39.950000000000003" customHeight="1">
      <c r="L118" s="54"/>
    </row>
    <row r="119" spans="12:12" s="20" customFormat="1" ht="39.950000000000003" customHeight="1">
      <c r="L119" s="54"/>
    </row>
    <row r="120" spans="12:12" s="20" customFormat="1" ht="39.950000000000003" customHeight="1">
      <c r="L120" s="54"/>
    </row>
    <row r="121" spans="12:12" s="20" customFormat="1" ht="39.950000000000003" customHeight="1">
      <c r="L121" s="54"/>
    </row>
    <row r="122" spans="12:12" s="20" customFormat="1" ht="39.950000000000003" customHeight="1">
      <c r="L122" s="54"/>
    </row>
    <row r="123" spans="12:12" s="20" customFormat="1" ht="39.950000000000003" customHeight="1">
      <c r="L123" s="54"/>
    </row>
    <row r="124" spans="12:12" s="20" customFormat="1" ht="39.950000000000003" customHeight="1">
      <c r="L124" s="54"/>
    </row>
    <row r="125" spans="12:12" s="20" customFormat="1" ht="39.950000000000003" customHeight="1">
      <c r="L125" s="54"/>
    </row>
    <row r="126" spans="12:12" s="20" customFormat="1" ht="39.950000000000003" customHeight="1">
      <c r="L126" s="54"/>
    </row>
    <row r="127" spans="12:12" s="20" customFormat="1" ht="39.950000000000003" customHeight="1">
      <c r="L127" s="54"/>
    </row>
    <row r="128" spans="12:12" s="20" customFormat="1" ht="39.950000000000003" customHeight="1">
      <c r="L128" s="54"/>
    </row>
    <row r="129" spans="12:12" s="20" customFormat="1" ht="39.950000000000003" customHeight="1">
      <c r="L129" s="54"/>
    </row>
    <row r="130" spans="12:12" s="20" customFormat="1" ht="39.950000000000003" customHeight="1">
      <c r="L130" s="54"/>
    </row>
    <row r="131" spans="12:12" s="20" customFormat="1" ht="39.950000000000003" customHeight="1">
      <c r="L131" s="54"/>
    </row>
    <row r="132" spans="12:12" s="20" customFormat="1" ht="39.950000000000003" customHeight="1">
      <c r="L132" s="54"/>
    </row>
    <row r="133" spans="12:12" s="20" customFormat="1" ht="39.950000000000003" customHeight="1">
      <c r="L133" s="54"/>
    </row>
    <row r="134" spans="12:12" s="20" customFormat="1" ht="39.950000000000003" customHeight="1">
      <c r="L134" s="54"/>
    </row>
    <row r="135" spans="12:12" s="20" customFormat="1" ht="39.950000000000003" customHeight="1">
      <c r="L135" s="54"/>
    </row>
    <row r="136" spans="12:12" s="20" customFormat="1" ht="39.950000000000003" customHeight="1">
      <c r="L136" s="54"/>
    </row>
    <row r="137" spans="12:12" s="20" customFormat="1" ht="39.950000000000003" customHeight="1">
      <c r="L137" s="54"/>
    </row>
    <row r="138" spans="12:12" s="20" customFormat="1" ht="39.950000000000003" customHeight="1">
      <c r="L138" s="54"/>
    </row>
    <row r="139" spans="12:12" s="20" customFormat="1" ht="39.950000000000003" customHeight="1">
      <c r="L139" s="54"/>
    </row>
    <row r="140" spans="12:12" s="20" customFormat="1" ht="39.950000000000003" customHeight="1">
      <c r="L140" s="54"/>
    </row>
    <row r="141" spans="12:12" s="20" customFormat="1" ht="39.950000000000003" customHeight="1">
      <c r="L141" s="54"/>
    </row>
    <row r="142" spans="12:12" s="20" customFormat="1" ht="39.950000000000003" customHeight="1">
      <c r="L142" s="54"/>
    </row>
    <row r="143" spans="12:12" s="20" customFormat="1" ht="39.950000000000003" customHeight="1">
      <c r="L143" s="54"/>
    </row>
    <row r="144" spans="12:12" s="20" customFormat="1" ht="39.950000000000003" customHeight="1">
      <c r="L144" s="54"/>
    </row>
    <row r="145" spans="12:12" s="20" customFormat="1" ht="39.950000000000003" customHeight="1">
      <c r="L145" s="54"/>
    </row>
    <row r="146" spans="12:12" s="20" customFormat="1" ht="39.950000000000003" customHeight="1">
      <c r="L146" s="54"/>
    </row>
    <row r="147" spans="12:12" s="20" customFormat="1" ht="39.950000000000003" customHeight="1">
      <c r="L147" s="54"/>
    </row>
    <row r="148" spans="12:12" s="20" customFormat="1" ht="39.950000000000003" customHeight="1">
      <c r="L148" s="54"/>
    </row>
    <row r="149" spans="12:12" s="20" customFormat="1" ht="39.950000000000003" customHeight="1">
      <c r="L149" s="54"/>
    </row>
    <row r="150" spans="12:12" s="20" customFormat="1" ht="39.950000000000003" customHeight="1">
      <c r="L150" s="54"/>
    </row>
    <row r="151" spans="12:12" s="20" customFormat="1" ht="39.950000000000003" customHeight="1">
      <c r="L151" s="54"/>
    </row>
    <row r="152" spans="12:12" s="20" customFormat="1" ht="39.950000000000003" customHeight="1">
      <c r="L152" s="54"/>
    </row>
    <row r="153" spans="12:12" s="20" customFormat="1" ht="39.950000000000003" customHeight="1">
      <c r="L153" s="54"/>
    </row>
    <row r="154" spans="12:12" s="20" customFormat="1" ht="39.950000000000003" customHeight="1">
      <c r="L154" s="54"/>
    </row>
    <row r="155" spans="12:12" s="20" customFormat="1" ht="39.950000000000003" customHeight="1">
      <c r="L155" s="54"/>
    </row>
    <row r="156" spans="12:12" s="20" customFormat="1" ht="39.950000000000003" customHeight="1">
      <c r="L156" s="54"/>
    </row>
    <row r="157" spans="12:12" s="20" customFormat="1" ht="39.950000000000003" customHeight="1">
      <c r="L157" s="54"/>
    </row>
    <row r="158" spans="12:12" s="20" customFormat="1" ht="39.950000000000003" customHeight="1">
      <c r="L158" s="54"/>
    </row>
    <row r="159" spans="12:12" s="20" customFormat="1" ht="39.950000000000003" customHeight="1">
      <c r="L159" s="54"/>
    </row>
    <row r="160" spans="12:12" s="20" customFormat="1" ht="39.950000000000003" customHeight="1">
      <c r="L160" s="54"/>
    </row>
    <row r="161" spans="12:12" s="20" customFormat="1" ht="39.950000000000003" customHeight="1">
      <c r="L161" s="54"/>
    </row>
    <row r="162" spans="12:12" s="20" customFormat="1" ht="39.950000000000003" customHeight="1">
      <c r="L162" s="54"/>
    </row>
    <row r="163" spans="12:12" s="20" customFormat="1" ht="39.950000000000003" customHeight="1">
      <c r="L163" s="54"/>
    </row>
    <row r="164" spans="12:12" s="20" customFormat="1" ht="39.950000000000003" customHeight="1">
      <c r="L164" s="54"/>
    </row>
    <row r="165" spans="12:12" s="20" customFormat="1" ht="39.950000000000003" customHeight="1">
      <c r="L165" s="54"/>
    </row>
    <row r="166" spans="12:12" s="20" customFormat="1" ht="39.950000000000003" customHeight="1">
      <c r="L166" s="54"/>
    </row>
    <row r="167" spans="12:12" s="20" customFormat="1" ht="39.950000000000003" customHeight="1">
      <c r="L167" s="54"/>
    </row>
    <row r="168" spans="12:12" s="20" customFormat="1" ht="39.950000000000003" customHeight="1">
      <c r="L168" s="54"/>
    </row>
    <row r="169" spans="12:12" s="20" customFormat="1" ht="39.950000000000003" customHeight="1">
      <c r="L169" s="54"/>
    </row>
    <row r="170" spans="12:12" s="20" customFormat="1" ht="39.950000000000003" customHeight="1">
      <c r="L170" s="54"/>
    </row>
    <row r="171" spans="12:12" s="20" customFormat="1" ht="39.950000000000003" customHeight="1">
      <c r="L171" s="54"/>
    </row>
    <row r="172" spans="12:12" s="20" customFormat="1" ht="39.950000000000003" customHeight="1">
      <c r="L172" s="54"/>
    </row>
    <row r="173" spans="12:12" s="20" customFormat="1" ht="39.950000000000003" customHeight="1">
      <c r="L173" s="54"/>
    </row>
    <row r="174" spans="12:12" s="20" customFormat="1" ht="39.950000000000003" customHeight="1">
      <c r="L174" s="54"/>
    </row>
    <row r="175" spans="12:12" s="20" customFormat="1" ht="39.950000000000003" customHeight="1">
      <c r="L175" s="54"/>
    </row>
    <row r="176" spans="12:12" s="20" customFormat="1" ht="39.950000000000003" customHeight="1">
      <c r="L176" s="54"/>
    </row>
    <row r="177" spans="12:12" s="20" customFormat="1" ht="39.950000000000003" customHeight="1">
      <c r="L177" s="54"/>
    </row>
    <row r="178" spans="12:12" s="20" customFormat="1" ht="39.950000000000003" customHeight="1">
      <c r="L178" s="54"/>
    </row>
    <row r="179" spans="12:12" s="20" customFormat="1" ht="39.950000000000003" customHeight="1">
      <c r="L179" s="54"/>
    </row>
    <row r="180" spans="12:12" s="20" customFormat="1" ht="39.950000000000003" customHeight="1">
      <c r="L180" s="54"/>
    </row>
    <row r="181" spans="12:12" s="20" customFormat="1" ht="39.950000000000003" customHeight="1">
      <c r="L181" s="54"/>
    </row>
    <row r="182" spans="12:12" s="20" customFormat="1" ht="39.950000000000003" customHeight="1">
      <c r="L182" s="54"/>
    </row>
    <row r="183" spans="12:12" s="20" customFormat="1" ht="39.950000000000003" customHeight="1">
      <c r="L183" s="54"/>
    </row>
    <row r="184" spans="12:12" s="20" customFormat="1" ht="39.950000000000003" customHeight="1">
      <c r="L184" s="54"/>
    </row>
    <row r="185" spans="12:12" s="20" customFormat="1" ht="39.950000000000003" customHeight="1">
      <c r="L185" s="54"/>
    </row>
    <row r="186" spans="12:12" s="20" customFormat="1" ht="39.950000000000003" customHeight="1">
      <c r="L186" s="54"/>
    </row>
    <row r="187" spans="12:12" s="20" customFormat="1" ht="39.950000000000003" customHeight="1">
      <c r="L187" s="54"/>
    </row>
    <row r="188" spans="12:12" s="20" customFormat="1" ht="39.950000000000003" customHeight="1">
      <c r="L188" s="54"/>
    </row>
    <row r="189" spans="12:12" s="20" customFormat="1" ht="39.950000000000003" customHeight="1">
      <c r="L189" s="54"/>
    </row>
    <row r="190" spans="12:12" s="20" customFormat="1" ht="39.950000000000003" customHeight="1">
      <c r="L190" s="54"/>
    </row>
    <row r="191" spans="12:12" s="20" customFormat="1" ht="39.950000000000003" customHeight="1">
      <c r="L191" s="54"/>
    </row>
    <row r="192" spans="12:12" s="20" customFormat="1" ht="39.950000000000003" customHeight="1">
      <c r="L192" s="54"/>
    </row>
    <row r="193" spans="12:12" s="20" customFormat="1" ht="39.950000000000003" customHeight="1">
      <c r="L193" s="54"/>
    </row>
    <row r="194" spans="12:12" s="20" customFormat="1" ht="39.950000000000003" customHeight="1">
      <c r="L194" s="54"/>
    </row>
    <row r="195" spans="12:12" s="20" customFormat="1" ht="39.950000000000003" customHeight="1">
      <c r="L195" s="54"/>
    </row>
    <row r="196" spans="12:12" s="20" customFormat="1" ht="39.950000000000003" customHeight="1">
      <c r="L196" s="54"/>
    </row>
    <row r="197" spans="12:12" s="20" customFormat="1" ht="39.950000000000003" customHeight="1">
      <c r="L197" s="54"/>
    </row>
    <row r="198" spans="12:12" s="20" customFormat="1" ht="39.950000000000003" customHeight="1">
      <c r="L198" s="54"/>
    </row>
    <row r="199" spans="12:12" s="20" customFormat="1" ht="39.950000000000003" customHeight="1">
      <c r="L199" s="54"/>
    </row>
    <row r="200" spans="12:12" s="20" customFormat="1" ht="39.950000000000003" customHeight="1">
      <c r="L200" s="54"/>
    </row>
    <row r="201" spans="12:12" s="20" customFormat="1" ht="39.950000000000003" customHeight="1">
      <c r="L201" s="54"/>
    </row>
    <row r="202" spans="12:12" s="20" customFormat="1" ht="39.950000000000003" customHeight="1">
      <c r="L202" s="54"/>
    </row>
    <row r="203" spans="12:12" s="20" customFormat="1" ht="39.950000000000003" customHeight="1">
      <c r="L203" s="54"/>
    </row>
    <row r="204" spans="12:12" s="20" customFormat="1" ht="39.950000000000003" customHeight="1">
      <c r="L204" s="54"/>
    </row>
    <row r="205" spans="12:12" s="20" customFormat="1" ht="39.950000000000003" customHeight="1">
      <c r="L205" s="54"/>
    </row>
    <row r="206" spans="12:12" s="20" customFormat="1" ht="39.950000000000003" customHeight="1">
      <c r="L206" s="54"/>
    </row>
    <row r="207" spans="12:12" s="20" customFormat="1" ht="39.950000000000003" customHeight="1">
      <c r="L207" s="54"/>
    </row>
    <row r="208" spans="12:12" s="20" customFormat="1" ht="39.950000000000003" customHeight="1">
      <c r="L208" s="54"/>
    </row>
    <row r="209" spans="12:12" s="20" customFormat="1" ht="39.950000000000003" customHeight="1">
      <c r="L209" s="54"/>
    </row>
    <row r="210" spans="12:12" s="20" customFormat="1" ht="39.950000000000003" customHeight="1">
      <c r="L210" s="54"/>
    </row>
    <row r="211" spans="12:12" s="20" customFormat="1" ht="39.950000000000003" customHeight="1">
      <c r="L211" s="54"/>
    </row>
    <row r="212" spans="12:12" s="20" customFormat="1" ht="39.950000000000003" customHeight="1">
      <c r="L212" s="54"/>
    </row>
    <row r="213" spans="12:12" s="20" customFormat="1" ht="39.950000000000003" customHeight="1">
      <c r="L213" s="54"/>
    </row>
    <row r="214" spans="12:12" s="20" customFormat="1" ht="39.950000000000003" customHeight="1">
      <c r="L214" s="54"/>
    </row>
    <row r="215" spans="12:12" s="20" customFormat="1" ht="39.950000000000003" customHeight="1">
      <c r="L215" s="54"/>
    </row>
    <row r="216" spans="12:12" s="20" customFormat="1" ht="39.950000000000003" customHeight="1">
      <c r="L216" s="54"/>
    </row>
    <row r="217" spans="12:12" s="20" customFormat="1" ht="39.950000000000003" customHeight="1">
      <c r="L217" s="54"/>
    </row>
    <row r="218" spans="12:12" s="20" customFormat="1" ht="39.950000000000003" customHeight="1">
      <c r="L218" s="54"/>
    </row>
    <row r="219" spans="12:12" s="20" customFormat="1" ht="39.950000000000003" customHeight="1">
      <c r="L219" s="54"/>
    </row>
    <row r="220" spans="12:12" s="20" customFormat="1" ht="39.950000000000003" customHeight="1">
      <c r="L220" s="54"/>
    </row>
    <row r="221" spans="12:12" s="20" customFormat="1" ht="39.950000000000003" customHeight="1">
      <c r="L221" s="54"/>
    </row>
    <row r="222" spans="12:12" s="20" customFormat="1" ht="39.950000000000003" customHeight="1">
      <c r="L222" s="54"/>
    </row>
    <row r="223" spans="12:12" s="20" customFormat="1" ht="39.950000000000003" customHeight="1">
      <c r="L223" s="54"/>
    </row>
    <row r="224" spans="12:12" s="20" customFormat="1" ht="39.950000000000003" customHeight="1">
      <c r="L224" s="54"/>
    </row>
    <row r="225" spans="12:12" s="20" customFormat="1" ht="39.950000000000003" customHeight="1">
      <c r="L225" s="54"/>
    </row>
    <row r="226" spans="12:12" s="20" customFormat="1" ht="39.950000000000003" customHeight="1">
      <c r="L226" s="54"/>
    </row>
    <row r="227" spans="12:12" s="20" customFormat="1" ht="39.950000000000003" customHeight="1">
      <c r="L227" s="54"/>
    </row>
    <row r="228" spans="12:12" s="20" customFormat="1" ht="39.950000000000003" customHeight="1">
      <c r="L228" s="54"/>
    </row>
    <row r="229" spans="12:12" s="20" customFormat="1" ht="39.950000000000003" customHeight="1">
      <c r="L229" s="54"/>
    </row>
    <row r="230" spans="12:12" s="20" customFormat="1" ht="39.950000000000003" customHeight="1">
      <c r="L230" s="54"/>
    </row>
    <row r="231" spans="12:12" s="20" customFormat="1" ht="39.950000000000003" customHeight="1">
      <c r="L231" s="54"/>
    </row>
    <row r="232" spans="12:12" s="20" customFormat="1" ht="39.950000000000003" customHeight="1">
      <c r="L232" s="54"/>
    </row>
    <row r="233" spans="12:12" s="20" customFormat="1" ht="39.950000000000003" customHeight="1">
      <c r="L233" s="54"/>
    </row>
    <row r="234" spans="12:12" s="20" customFormat="1" ht="39.950000000000003" customHeight="1">
      <c r="L234" s="54"/>
    </row>
    <row r="235" spans="12:12" s="20" customFormat="1" ht="39.950000000000003" customHeight="1">
      <c r="L235" s="54"/>
    </row>
    <row r="236" spans="12:12" s="20" customFormat="1" ht="39.950000000000003" customHeight="1">
      <c r="L236" s="54"/>
    </row>
    <row r="237" spans="12:12" s="20" customFormat="1" ht="39.950000000000003" customHeight="1">
      <c r="L237" s="54"/>
    </row>
    <row r="238" spans="12:12" s="20" customFormat="1" ht="39.950000000000003" customHeight="1">
      <c r="L238" s="54"/>
    </row>
    <row r="239" spans="12:12" s="20" customFormat="1" ht="39.950000000000003" customHeight="1">
      <c r="L239" s="54"/>
    </row>
    <row r="240" spans="12:12" s="20" customFormat="1" ht="39.950000000000003" customHeight="1">
      <c r="L240" s="54"/>
    </row>
    <row r="241" spans="12:12" s="20" customFormat="1" ht="39.950000000000003" customHeight="1">
      <c r="L241" s="54"/>
    </row>
    <row r="242" spans="12:12" s="20" customFormat="1" ht="39.950000000000003" customHeight="1">
      <c r="L242" s="54"/>
    </row>
    <row r="243" spans="12:12" s="20" customFormat="1" ht="39.950000000000003" customHeight="1">
      <c r="L243" s="54"/>
    </row>
    <row r="244" spans="12:12" s="20" customFormat="1" ht="39.950000000000003" customHeight="1">
      <c r="L244" s="54"/>
    </row>
    <row r="245" spans="12:12" s="20" customFormat="1" ht="39.950000000000003" customHeight="1">
      <c r="L245" s="54"/>
    </row>
    <row r="246" spans="12:12" s="20" customFormat="1" ht="39.950000000000003" customHeight="1">
      <c r="L246" s="54"/>
    </row>
    <row r="247" spans="12:12" s="20" customFormat="1" ht="39.950000000000003" customHeight="1">
      <c r="L247" s="54"/>
    </row>
    <row r="248" spans="12:12" s="20" customFormat="1" ht="39.950000000000003" customHeight="1">
      <c r="L248" s="54"/>
    </row>
    <row r="249" spans="12:12" s="20" customFormat="1" ht="39.950000000000003" customHeight="1">
      <c r="L249" s="54"/>
    </row>
    <row r="250" spans="12:12" s="20" customFormat="1" ht="39.950000000000003" customHeight="1">
      <c r="L250" s="54"/>
    </row>
    <row r="251" spans="12:12" s="20" customFormat="1" ht="39.950000000000003" customHeight="1">
      <c r="L251" s="54"/>
    </row>
    <row r="252" spans="12:12" s="20" customFormat="1" ht="39.950000000000003" customHeight="1">
      <c r="L252" s="54"/>
    </row>
    <row r="253" spans="12:12" s="20" customFormat="1" ht="39.950000000000003" customHeight="1">
      <c r="L253" s="54"/>
    </row>
    <row r="254" spans="12:12" s="20" customFormat="1" ht="39.950000000000003" customHeight="1">
      <c r="L254" s="54"/>
    </row>
    <row r="255" spans="12:12" s="20" customFormat="1" ht="39.950000000000003" customHeight="1">
      <c r="L255" s="54"/>
    </row>
    <row r="256" spans="12:12" s="20" customFormat="1" ht="39.950000000000003" customHeight="1">
      <c r="L256" s="54"/>
    </row>
    <row r="257" spans="12:12" s="20" customFormat="1" ht="39.950000000000003" customHeight="1">
      <c r="L257" s="54"/>
    </row>
    <row r="258" spans="12:12" s="20" customFormat="1" ht="39.950000000000003" customHeight="1">
      <c r="L258" s="54"/>
    </row>
    <row r="259" spans="12:12" s="20" customFormat="1" ht="39.950000000000003" customHeight="1">
      <c r="L259" s="54"/>
    </row>
    <row r="260" spans="12:12" s="20" customFormat="1" ht="39.950000000000003" customHeight="1">
      <c r="L260" s="54"/>
    </row>
    <row r="261" spans="12:12" s="20" customFormat="1" ht="39.950000000000003" customHeight="1">
      <c r="L261" s="54"/>
    </row>
    <row r="262" spans="12:12" s="20" customFormat="1" ht="39.950000000000003" customHeight="1">
      <c r="L262" s="54"/>
    </row>
    <row r="263" spans="12:12" s="20" customFormat="1" ht="39.950000000000003" customHeight="1">
      <c r="L263" s="54"/>
    </row>
    <row r="264" spans="12:12" s="20" customFormat="1" ht="39.950000000000003" customHeight="1">
      <c r="L264" s="54"/>
    </row>
    <row r="265" spans="12:12" s="20" customFormat="1" ht="39.950000000000003" customHeight="1">
      <c r="L265" s="54"/>
    </row>
    <row r="266" spans="12:12" s="20" customFormat="1" ht="39.950000000000003" customHeight="1">
      <c r="L266" s="54"/>
    </row>
    <row r="267" spans="12:12" s="20" customFormat="1" ht="39.950000000000003" customHeight="1">
      <c r="L267" s="54"/>
    </row>
    <row r="268" spans="12:12" s="20" customFormat="1" ht="39.950000000000003" customHeight="1">
      <c r="L268" s="54"/>
    </row>
    <row r="269" spans="12:12" s="20" customFormat="1" ht="39.950000000000003" customHeight="1">
      <c r="L269" s="54"/>
    </row>
    <row r="270" spans="12:12" s="20" customFormat="1" ht="39.950000000000003" customHeight="1">
      <c r="L270" s="54"/>
    </row>
    <row r="271" spans="12:12" s="20" customFormat="1" ht="39.950000000000003" customHeight="1">
      <c r="L271" s="54"/>
    </row>
    <row r="272" spans="12:12" s="20" customFormat="1" ht="39.950000000000003" customHeight="1">
      <c r="L272" s="54"/>
    </row>
    <row r="273" spans="12:12" s="20" customFormat="1" ht="39.950000000000003" customHeight="1">
      <c r="L273" s="54"/>
    </row>
    <row r="274" spans="12:12" s="20" customFormat="1" ht="39.950000000000003" customHeight="1">
      <c r="L274" s="54"/>
    </row>
    <row r="275" spans="12:12" s="20" customFormat="1" ht="39.950000000000003" customHeight="1">
      <c r="L275" s="54"/>
    </row>
    <row r="276" spans="12:12" s="20" customFormat="1" ht="39.950000000000003" customHeight="1">
      <c r="L276" s="54"/>
    </row>
    <row r="277" spans="12:12" s="20" customFormat="1" ht="39.950000000000003" customHeight="1">
      <c r="L277" s="54"/>
    </row>
    <row r="278" spans="12:12" s="20" customFormat="1" ht="39.950000000000003" customHeight="1">
      <c r="L278" s="54"/>
    </row>
    <row r="279" spans="12:12" s="20" customFormat="1" ht="39.950000000000003" customHeight="1">
      <c r="L279" s="54"/>
    </row>
    <row r="280" spans="12:12" s="20" customFormat="1" ht="39.950000000000003" customHeight="1">
      <c r="L280" s="54"/>
    </row>
    <row r="281" spans="12:12" s="20" customFormat="1" ht="39.950000000000003" customHeight="1">
      <c r="L281" s="54"/>
    </row>
    <row r="282" spans="12:12" s="20" customFormat="1" ht="39.950000000000003" customHeight="1">
      <c r="L282" s="54"/>
    </row>
    <row r="283" spans="12:12" s="20" customFormat="1" ht="39.950000000000003" customHeight="1">
      <c r="L283" s="54"/>
    </row>
    <row r="284" spans="12:12" s="20" customFormat="1" ht="39.950000000000003" customHeight="1">
      <c r="L284" s="54"/>
    </row>
    <row r="285" spans="12:12" s="20" customFormat="1" ht="39.950000000000003" customHeight="1">
      <c r="L285" s="54"/>
    </row>
    <row r="286" spans="12:12" s="20" customFormat="1" ht="39.950000000000003" customHeight="1">
      <c r="L286" s="54"/>
    </row>
    <row r="287" spans="12:12" s="20" customFormat="1" ht="39.950000000000003" customHeight="1">
      <c r="L287" s="54"/>
    </row>
    <row r="288" spans="12:12" s="20" customFormat="1" ht="39.950000000000003" customHeight="1">
      <c r="L288" s="54"/>
    </row>
    <row r="289" spans="12:12" s="20" customFormat="1" ht="39.950000000000003" customHeight="1">
      <c r="L289" s="54"/>
    </row>
    <row r="290" spans="12:12" s="20" customFormat="1" ht="39.950000000000003" customHeight="1">
      <c r="L290" s="54"/>
    </row>
    <row r="291" spans="12:12" s="20" customFormat="1" ht="39.950000000000003" customHeight="1">
      <c r="L291" s="54"/>
    </row>
    <row r="292" spans="12:12" s="20" customFormat="1" ht="39.950000000000003" customHeight="1">
      <c r="L292" s="54"/>
    </row>
    <row r="293" spans="12:12" s="20" customFormat="1" ht="39.950000000000003" customHeight="1">
      <c r="L293" s="54"/>
    </row>
    <row r="294" spans="12:12" s="20" customFormat="1" ht="39.950000000000003" customHeight="1">
      <c r="L294" s="54"/>
    </row>
    <row r="295" spans="12:12" s="20" customFormat="1" ht="39.950000000000003" customHeight="1">
      <c r="L295" s="54"/>
    </row>
    <row r="296" spans="12:12" s="20" customFormat="1" ht="39.950000000000003" customHeight="1">
      <c r="L296" s="54"/>
    </row>
    <row r="297" spans="12:12" s="20" customFormat="1" ht="39.950000000000003" customHeight="1">
      <c r="L297" s="54"/>
    </row>
    <row r="298" spans="12:12" s="20" customFormat="1" ht="39.950000000000003" customHeight="1">
      <c r="L298" s="54"/>
    </row>
    <row r="299" spans="12:12" s="20" customFormat="1" ht="39.950000000000003" customHeight="1">
      <c r="L299" s="54"/>
    </row>
    <row r="300" spans="12:12" s="20" customFormat="1" ht="39.950000000000003" customHeight="1">
      <c r="L300" s="54"/>
    </row>
    <row r="301" spans="12:12" s="20" customFormat="1" ht="39.950000000000003" customHeight="1">
      <c r="L301" s="54"/>
    </row>
    <row r="302" spans="12:12" s="20" customFormat="1" ht="39.950000000000003" customHeight="1">
      <c r="L302" s="54"/>
    </row>
    <row r="303" spans="12:12" s="20" customFormat="1" ht="39.950000000000003" customHeight="1">
      <c r="L303" s="54"/>
    </row>
    <row r="304" spans="12:12" s="20" customFormat="1" ht="39.950000000000003" customHeight="1">
      <c r="L304" s="54"/>
    </row>
    <row r="305" spans="12:12" s="20" customFormat="1" ht="39.950000000000003" customHeight="1">
      <c r="L305" s="54"/>
    </row>
    <row r="306" spans="12:12" s="20" customFormat="1" ht="39.950000000000003" customHeight="1">
      <c r="L306" s="54"/>
    </row>
    <row r="307" spans="12:12" s="20" customFormat="1" ht="39.950000000000003" customHeight="1">
      <c r="L307" s="54"/>
    </row>
    <row r="308" spans="12:12" s="20" customFormat="1" ht="39.950000000000003" customHeight="1">
      <c r="L308" s="54"/>
    </row>
    <row r="309" spans="12:12" s="20" customFormat="1">
      <c r="L309" s="54"/>
    </row>
    <row r="310" spans="12:12" s="20" customFormat="1">
      <c r="L310" s="54"/>
    </row>
    <row r="311" spans="12:12" s="20" customFormat="1">
      <c r="L311" s="54"/>
    </row>
    <row r="312" spans="12:12" s="20" customFormat="1">
      <c r="L312" s="54"/>
    </row>
    <row r="313" spans="12:12" s="20" customFormat="1">
      <c r="L313" s="54"/>
    </row>
    <row r="314" spans="12:12" s="20" customFormat="1">
      <c r="L314" s="54"/>
    </row>
    <row r="315" spans="12:12" s="20" customFormat="1">
      <c r="L315" s="54"/>
    </row>
    <row r="316" spans="12:12" s="20" customFormat="1">
      <c r="L316" s="54"/>
    </row>
    <row r="317" spans="12:12" s="20" customFormat="1">
      <c r="L317" s="54"/>
    </row>
    <row r="318" spans="12:12" s="20" customFormat="1">
      <c r="L318" s="54"/>
    </row>
    <row r="319" spans="12:12" s="20" customFormat="1">
      <c r="L319" s="54"/>
    </row>
    <row r="320" spans="12:12" s="20" customFormat="1">
      <c r="L320" s="54"/>
    </row>
    <row r="321" spans="12:12" s="20" customFormat="1">
      <c r="L321" s="54"/>
    </row>
    <row r="322" spans="12:12" s="20" customFormat="1">
      <c r="L322" s="54"/>
    </row>
    <row r="323" spans="12:12" s="20" customFormat="1">
      <c r="L323" s="54"/>
    </row>
    <row r="324" spans="12:12" s="20" customFormat="1">
      <c r="L324" s="54"/>
    </row>
    <row r="325" spans="12:12" s="20" customFormat="1">
      <c r="L325" s="54"/>
    </row>
    <row r="326" spans="12:12" s="20" customFormat="1">
      <c r="L326" s="54"/>
    </row>
    <row r="327" spans="12:12" s="20" customFormat="1">
      <c r="L327" s="54"/>
    </row>
    <row r="328" spans="12:12" s="20" customFormat="1">
      <c r="L328" s="54"/>
    </row>
    <row r="329" spans="12:12" s="20" customFormat="1">
      <c r="L329" s="54"/>
    </row>
    <row r="330" spans="12:12" s="20" customFormat="1">
      <c r="L330" s="54"/>
    </row>
    <row r="331" spans="12:12" s="20" customFormat="1">
      <c r="L331" s="54"/>
    </row>
    <row r="332" spans="12:12" s="20" customFormat="1">
      <c r="L332" s="54"/>
    </row>
    <row r="333" spans="12:12" s="20" customFormat="1">
      <c r="L333" s="54"/>
    </row>
    <row r="334" spans="12:12" s="20" customFormat="1">
      <c r="L334" s="54"/>
    </row>
    <row r="335" spans="12:12" s="20" customFormat="1">
      <c r="L335" s="54"/>
    </row>
    <row r="336" spans="12:12" s="20" customFormat="1">
      <c r="L336" s="54"/>
    </row>
    <row r="337" spans="12:12" s="20" customFormat="1">
      <c r="L337" s="54"/>
    </row>
    <row r="338" spans="12:12" s="20" customFormat="1">
      <c r="L338" s="54"/>
    </row>
    <row r="339" spans="12:12" s="20" customFormat="1">
      <c r="L339" s="54"/>
    </row>
    <row r="340" spans="12:12" s="20" customFormat="1">
      <c r="L340" s="54"/>
    </row>
    <row r="341" spans="12:12" s="20" customFormat="1">
      <c r="L341" s="54"/>
    </row>
    <row r="342" spans="12:12" s="20" customFormat="1">
      <c r="L342" s="54"/>
    </row>
    <row r="343" spans="12:12" s="20" customFormat="1">
      <c r="L343" s="54"/>
    </row>
    <row r="344" spans="12:12" s="20" customFormat="1">
      <c r="L344" s="54"/>
    </row>
    <row r="345" spans="12:12" s="20" customFormat="1">
      <c r="L345" s="54"/>
    </row>
    <row r="346" spans="12:12" s="20" customFormat="1">
      <c r="L346" s="54"/>
    </row>
    <row r="347" spans="12:12" s="20" customFormat="1">
      <c r="L347" s="54"/>
    </row>
    <row r="348" spans="12:12" s="20" customFormat="1">
      <c r="L348" s="54"/>
    </row>
    <row r="349" spans="12:12" s="20" customFormat="1">
      <c r="L349" s="54"/>
    </row>
    <row r="350" spans="12:12" s="20" customFormat="1">
      <c r="L350" s="54"/>
    </row>
    <row r="351" spans="12:12" s="20" customFormat="1">
      <c r="L351" s="54"/>
    </row>
    <row r="352" spans="12:12" s="20" customFormat="1">
      <c r="L352" s="54"/>
    </row>
    <row r="353" spans="12:12" s="20" customFormat="1">
      <c r="L353" s="54"/>
    </row>
    <row r="354" spans="12:12" s="20" customFormat="1">
      <c r="L354" s="54"/>
    </row>
    <row r="355" spans="12:12" s="20" customFormat="1">
      <c r="L355" s="54"/>
    </row>
    <row r="356" spans="12:12" s="20" customFormat="1">
      <c r="L356" s="54"/>
    </row>
    <row r="357" spans="12:12" s="20" customFormat="1">
      <c r="L357" s="54"/>
    </row>
    <row r="358" spans="12:12" s="20" customFormat="1">
      <c r="L358" s="54"/>
    </row>
    <row r="359" spans="12:12" s="20" customFormat="1">
      <c r="L359" s="54"/>
    </row>
    <row r="360" spans="12:12" s="20" customFormat="1">
      <c r="L360" s="54"/>
    </row>
    <row r="361" spans="12:12" s="20" customFormat="1">
      <c r="L361" s="54"/>
    </row>
    <row r="362" spans="12:12" s="20" customFormat="1">
      <c r="L362" s="54"/>
    </row>
    <row r="363" spans="12:12" s="20" customFormat="1">
      <c r="L363" s="54"/>
    </row>
    <row r="364" spans="12:12" s="20" customFormat="1">
      <c r="L364" s="54"/>
    </row>
    <row r="365" spans="12:12" s="20" customFormat="1">
      <c r="L365" s="54"/>
    </row>
    <row r="366" spans="12:12" s="20" customFormat="1">
      <c r="L366" s="54"/>
    </row>
    <row r="367" spans="12:12" s="20" customFormat="1">
      <c r="L367" s="54"/>
    </row>
    <row r="368" spans="12:12" s="20" customFormat="1">
      <c r="L368" s="54"/>
    </row>
    <row r="369" spans="12:12" s="20" customFormat="1">
      <c r="L369" s="54"/>
    </row>
    <row r="370" spans="12:12" s="20" customFormat="1">
      <c r="L370" s="54"/>
    </row>
    <row r="371" spans="12:12" s="20" customFormat="1">
      <c r="L371" s="54"/>
    </row>
    <row r="372" spans="12:12" s="20" customFormat="1">
      <c r="L372" s="54"/>
    </row>
    <row r="373" spans="12:12" s="20" customFormat="1">
      <c r="L373" s="54"/>
    </row>
    <row r="374" spans="12:12" s="20" customFormat="1">
      <c r="L374" s="54"/>
    </row>
    <row r="375" spans="12:12" s="20" customFormat="1">
      <c r="L375" s="54"/>
    </row>
    <row r="376" spans="12:12" s="20" customFormat="1">
      <c r="L376" s="54"/>
    </row>
    <row r="377" spans="12:12" s="20" customFormat="1">
      <c r="L377" s="54"/>
    </row>
    <row r="378" spans="12:12" s="20" customFormat="1">
      <c r="L378" s="54"/>
    </row>
    <row r="379" spans="12:12" s="20" customFormat="1">
      <c r="L379" s="54"/>
    </row>
    <row r="380" spans="12:12" s="20" customFormat="1">
      <c r="L380" s="54"/>
    </row>
    <row r="381" spans="12:12" s="20" customFormat="1">
      <c r="L381" s="54"/>
    </row>
    <row r="382" spans="12:12" s="20" customFormat="1">
      <c r="L382" s="54"/>
    </row>
    <row r="383" spans="12:12" s="20" customFormat="1">
      <c r="L383" s="54"/>
    </row>
    <row r="384" spans="12:12" s="20" customFormat="1">
      <c r="L384" s="54"/>
    </row>
    <row r="385" spans="12:12" s="20" customFormat="1">
      <c r="L385" s="54"/>
    </row>
    <row r="386" spans="12:12" s="20" customFormat="1">
      <c r="L386" s="54"/>
    </row>
    <row r="387" spans="12:12" s="20" customFormat="1">
      <c r="L387" s="54"/>
    </row>
    <row r="388" spans="12:12" s="20" customFormat="1">
      <c r="L388" s="54"/>
    </row>
    <row r="389" spans="12:12" s="20" customFormat="1">
      <c r="L389" s="54"/>
    </row>
    <row r="390" spans="12:12" s="20" customFormat="1">
      <c r="L390" s="54"/>
    </row>
    <row r="391" spans="12:12" s="20" customFormat="1">
      <c r="L391" s="54"/>
    </row>
    <row r="392" spans="12:12" s="20" customFormat="1">
      <c r="L392" s="54"/>
    </row>
    <row r="393" spans="12:12" s="20" customFormat="1">
      <c r="L393" s="54"/>
    </row>
    <row r="394" spans="12:12" s="20" customFormat="1">
      <c r="L394" s="54"/>
    </row>
    <row r="395" spans="12:12" s="20" customFormat="1">
      <c r="L395" s="54"/>
    </row>
    <row r="396" spans="12:12" s="20" customFormat="1">
      <c r="L396" s="54"/>
    </row>
    <row r="397" spans="12:12" s="20" customFormat="1">
      <c r="L397" s="54"/>
    </row>
    <row r="398" spans="12:12" s="20" customFormat="1">
      <c r="L398" s="54"/>
    </row>
    <row r="399" spans="12:12" s="20" customFormat="1">
      <c r="L399" s="54"/>
    </row>
    <row r="400" spans="12:12" s="20" customFormat="1">
      <c r="L400" s="54"/>
    </row>
    <row r="401" spans="12:12" s="20" customFormat="1">
      <c r="L401" s="54"/>
    </row>
    <row r="402" spans="12:12" s="20" customFormat="1">
      <c r="L402" s="54"/>
    </row>
    <row r="403" spans="12:12" s="20" customFormat="1">
      <c r="L403" s="54"/>
    </row>
    <row r="404" spans="12:12" s="20" customFormat="1">
      <c r="L404" s="54"/>
    </row>
    <row r="405" spans="12:12" s="20" customFormat="1">
      <c r="L405" s="54"/>
    </row>
    <row r="406" spans="12:12" s="20" customFormat="1">
      <c r="L406" s="54"/>
    </row>
    <row r="407" spans="12:12" s="20" customFormat="1">
      <c r="L407" s="54"/>
    </row>
    <row r="408" spans="12:12" s="20" customFormat="1">
      <c r="L408" s="54"/>
    </row>
    <row r="409" spans="12:12" s="20" customFormat="1">
      <c r="L409" s="54"/>
    </row>
    <row r="410" spans="12:12" s="20" customFormat="1">
      <c r="L410" s="54"/>
    </row>
    <row r="411" spans="12:12" s="20" customFormat="1">
      <c r="L411" s="54"/>
    </row>
    <row r="412" spans="12:12" s="20" customFormat="1">
      <c r="L412" s="54"/>
    </row>
    <row r="413" spans="12:12" s="20" customFormat="1">
      <c r="L413" s="54"/>
    </row>
    <row r="414" spans="12:12" s="20" customFormat="1">
      <c r="L414" s="54"/>
    </row>
    <row r="415" spans="12:12" s="20" customFormat="1">
      <c r="L415" s="54"/>
    </row>
    <row r="416" spans="12:12" s="20" customFormat="1">
      <c r="L416" s="54"/>
    </row>
    <row r="417" spans="12:12" s="20" customFormat="1">
      <c r="L417" s="54"/>
    </row>
    <row r="418" spans="12:12" s="20" customFormat="1">
      <c r="L418" s="54"/>
    </row>
    <row r="419" spans="12:12" s="20" customFormat="1">
      <c r="L419" s="54"/>
    </row>
    <row r="420" spans="12:12" s="20" customFormat="1">
      <c r="L420" s="54"/>
    </row>
    <row r="421" spans="12:12" s="20" customFormat="1">
      <c r="L421" s="54"/>
    </row>
    <row r="422" spans="12:12" s="20" customFormat="1">
      <c r="L422" s="54"/>
    </row>
    <row r="423" spans="12:12" s="20" customFormat="1">
      <c r="L423" s="54"/>
    </row>
    <row r="424" spans="12:12" s="20" customFormat="1">
      <c r="L424" s="54"/>
    </row>
    <row r="425" spans="12:12" s="20" customFormat="1">
      <c r="L425" s="54"/>
    </row>
    <row r="426" spans="12:12" s="20" customFormat="1">
      <c r="L426" s="54"/>
    </row>
    <row r="427" spans="12:12" s="20" customFormat="1">
      <c r="L427" s="54"/>
    </row>
    <row r="428" spans="12:12" s="20" customFormat="1">
      <c r="L428" s="54"/>
    </row>
    <row r="429" spans="12:12" s="20" customFormat="1">
      <c r="L429" s="54"/>
    </row>
    <row r="430" spans="12:12" s="20" customFormat="1">
      <c r="L430" s="54"/>
    </row>
    <row r="431" spans="12:12" s="20" customFormat="1">
      <c r="L431" s="54"/>
    </row>
    <row r="432" spans="12:12" s="20" customFormat="1">
      <c r="L432" s="54"/>
    </row>
    <row r="433" spans="12:12" s="20" customFormat="1">
      <c r="L433" s="54"/>
    </row>
    <row r="434" spans="12:12" s="20" customFormat="1">
      <c r="L434" s="54"/>
    </row>
    <row r="435" spans="12:12" s="20" customFormat="1">
      <c r="L435" s="54"/>
    </row>
    <row r="436" spans="12:12" s="20" customFormat="1">
      <c r="L436" s="54"/>
    </row>
    <row r="437" spans="12:12" s="20" customFormat="1">
      <c r="L437" s="54"/>
    </row>
    <row r="438" spans="12:12" s="20" customFormat="1">
      <c r="L438" s="54"/>
    </row>
    <row r="439" spans="12:12" s="20" customFormat="1">
      <c r="L439" s="54"/>
    </row>
    <row r="440" spans="12:12" s="20" customFormat="1">
      <c r="L440" s="54"/>
    </row>
    <row r="441" spans="12:12" s="20" customFormat="1">
      <c r="L441" s="54"/>
    </row>
    <row r="442" spans="12:12" s="20" customFormat="1">
      <c r="L442" s="54"/>
    </row>
    <row r="443" spans="12:12" s="20" customFormat="1">
      <c r="L443" s="54"/>
    </row>
    <row r="444" spans="12:12" s="20" customFormat="1">
      <c r="L444" s="54"/>
    </row>
    <row r="445" spans="12:12" s="20" customFormat="1">
      <c r="L445" s="54"/>
    </row>
    <row r="446" spans="12:12" s="20" customFormat="1">
      <c r="L446" s="54"/>
    </row>
    <row r="447" spans="12:12" s="20" customFormat="1">
      <c r="L447" s="54"/>
    </row>
    <row r="448" spans="12:12" s="20" customFormat="1">
      <c r="L448" s="54"/>
    </row>
    <row r="449" spans="12:12" s="20" customFormat="1">
      <c r="L449" s="54"/>
    </row>
    <row r="450" spans="12:12" s="20" customFormat="1">
      <c r="L450" s="54"/>
    </row>
    <row r="451" spans="12:12" s="20" customFormat="1">
      <c r="L451" s="54"/>
    </row>
    <row r="452" spans="12:12" s="20" customFormat="1">
      <c r="L452" s="54"/>
    </row>
    <row r="453" spans="12:12" s="20" customFormat="1">
      <c r="L453" s="54"/>
    </row>
    <row r="454" spans="12:12" s="20" customFormat="1">
      <c r="L454" s="54"/>
    </row>
    <row r="455" spans="12:12" s="20" customFormat="1">
      <c r="L455" s="54"/>
    </row>
    <row r="456" spans="12:12" s="20" customFormat="1">
      <c r="L456" s="54"/>
    </row>
    <row r="457" spans="12:12" s="20" customFormat="1">
      <c r="L457" s="54"/>
    </row>
    <row r="458" spans="12:12" s="20" customFormat="1">
      <c r="L458" s="54"/>
    </row>
    <row r="459" spans="12:12" s="20" customFormat="1">
      <c r="L459" s="54"/>
    </row>
    <row r="460" spans="12:12" s="20" customFormat="1">
      <c r="L460" s="54"/>
    </row>
    <row r="461" spans="12:12" s="20" customFormat="1">
      <c r="L461" s="54"/>
    </row>
    <row r="462" spans="12:12" s="20" customFormat="1">
      <c r="L462" s="54"/>
    </row>
    <row r="463" spans="12:12" s="20" customFormat="1">
      <c r="L463" s="54"/>
    </row>
    <row r="464" spans="12:12" s="20" customFormat="1">
      <c r="L464" s="54"/>
    </row>
    <row r="465" spans="12:12" s="20" customFormat="1">
      <c r="L465" s="54"/>
    </row>
    <row r="466" spans="12:12" s="20" customFormat="1">
      <c r="L466" s="54"/>
    </row>
    <row r="467" spans="12:12" s="20" customFormat="1">
      <c r="L467" s="54"/>
    </row>
    <row r="468" spans="12:12" s="20" customFormat="1">
      <c r="L468" s="54"/>
    </row>
    <row r="469" spans="12:12" s="20" customFormat="1">
      <c r="L469" s="54"/>
    </row>
    <row r="470" spans="12:12" s="20" customFormat="1">
      <c r="L470" s="54"/>
    </row>
    <row r="471" spans="12:12" s="20" customFormat="1">
      <c r="L471" s="54"/>
    </row>
    <row r="472" spans="12:12" s="20" customFormat="1">
      <c r="L472" s="54"/>
    </row>
    <row r="473" spans="12:12" s="20" customFormat="1">
      <c r="L473" s="54"/>
    </row>
    <row r="474" spans="12:12" s="20" customFormat="1">
      <c r="L474" s="54"/>
    </row>
    <row r="475" spans="12:12" s="20" customFormat="1">
      <c r="L475" s="54"/>
    </row>
    <row r="476" spans="12:12" s="20" customFormat="1">
      <c r="L476" s="54"/>
    </row>
    <row r="477" spans="12:12" s="20" customFormat="1">
      <c r="L477" s="54"/>
    </row>
    <row r="478" spans="12:12" s="20" customFormat="1">
      <c r="L478" s="54"/>
    </row>
    <row r="479" spans="12:12" s="20" customFormat="1">
      <c r="L479" s="54"/>
    </row>
    <row r="480" spans="12:12" s="20" customFormat="1">
      <c r="L480" s="54"/>
    </row>
    <row r="481" spans="12:12" s="20" customFormat="1">
      <c r="L481" s="54"/>
    </row>
    <row r="482" spans="12:12" s="20" customFormat="1">
      <c r="L482" s="54"/>
    </row>
    <row r="483" spans="12:12" s="20" customFormat="1">
      <c r="L483" s="54"/>
    </row>
    <row r="484" spans="12:12" s="20" customFormat="1">
      <c r="L484" s="54"/>
    </row>
    <row r="485" spans="12:12" s="20" customFormat="1">
      <c r="L485" s="54"/>
    </row>
    <row r="486" spans="12:12" s="20" customFormat="1">
      <c r="L486" s="54"/>
    </row>
    <row r="487" spans="12:12" s="20" customFormat="1">
      <c r="L487" s="54"/>
    </row>
    <row r="488" spans="12:12" s="20" customFormat="1">
      <c r="L488" s="54"/>
    </row>
    <row r="489" spans="12:12" s="20" customFormat="1">
      <c r="L489" s="54"/>
    </row>
    <row r="490" spans="12:12" s="20" customFormat="1">
      <c r="L490" s="54"/>
    </row>
    <row r="491" spans="12:12" s="20" customFormat="1">
      <c r="L491" s="54"/>
    </row>
    <row r="492" spans="12:12" s="20" customFormat="1">
      <c r="L492" s="54"/>
    </row>
    <row r="493" spans="12:12" s="20" customFormat="1">
      <c r="L493" s="54"/>
    </row>
    <row r="494" spans="12:12" s="20" customFormat="1">
      <c r="L494" s="54"/>
    </row>
    <row r="495" spans="12:12" s="20" customFormat="1">
      <c r="L495" s="54"/>
    </row>
    <row r="496" spans="12:12" s="20" customFormat="1">
      <c r="L496" s="54"/>
    </row>
    <row r="497" spans="12:12" s="20" customFormat="1">
      <c r="L497" s="54"/>
    </row>
    <row r="498" spans="12:12" s="20" customFormat="1">
      <c r="L498" s="54"/>
    </row>
    <row r="499" spans="12:12" s="20" customFormat="1">
      <c r="L499" s="54"/>
    </row>
    <row r="500" spans="12:12" s="20" customFormat="1">
      <c r="L500" s="54"/>
    </row>
    <row r="501" spans="12:12" s="20" customFormat="1">
      <c r="L501" s="54"/>
    </row>
    <row r="502" spans="12:12" s="20" customFormat="1">
      <c r="L502" s="54"/>
    </row>
    <row r="503" spans="12:12" s="20" customFormat="1">
      <c r="L503" s="54"/>
    </row>
    <row r="504" spans="12:12" s="20" customFormat="1">
      <c r="L504" s="54"/>
    </row>
    <row r="505" spans="12:12" s="20" customFormat="1">
      <c r="L505" s="54"/>
    </row>
    <row r="506" spans="12:12" s="20" customFormat="1">
      <c r="L506" s="54"/>
    </row>
    <row r="507" spans="12:12" s="20" customFormat="1">
      <c r="L507" s="54"/>
    </row>
    <row r="508" spans="12:12" s="20" customFormat="1">
      <c r="L508" s="54"/>
    </row>
    <row r="509" spans="12:12" s="20" customFormat="1">
      <c r="L509" s="54"/>
    </row>
    <row r="510" spans="12:12" s="20" customFormat="1">
      <c r="L510" s="54"/>
    </row>
    <row r="511" spans="12:12" s="20" customFormat="1">
      <c r="L511" s="54"/>
    </row>
    <row r="512" spans="12:12" s="20" customFormat="1">
      <c r="L512" s="54"/>
    </row>
    <row r="513" spans="12:12" s="20" customFormat="1">
      <c r="L513" s="54"/>
    </row>
    <row r="514" spans="12:12" s="20" customFormat="1">
      <c r="L514" s="54"/>
    </row>
    <row r="515" spans="12:12" s="20" customFormat="1">
      <c r="L515" s="54"/>
    </row>
    <row r="516" spans="12:12" s="20" customFormat="1">
      <c r="L516" s="54"/>
    </row>
    <row r="517" spans="12:12" s="20" customFormat="1">
      <c r="L517" s="54"/>
    </row>
    <row r="518" spans="12:12" s="20" customFormat="1">
      <c r="L518" s="54"/>
    </row>
    <row r="519" spans="12:12" s="20" customFormat="1">
      <c r="L519" s="54"/>
    </row>
    <row r="520" spans="12:12" s="20" customFormat="1">
      <c r="L520" s="54"/>
    </row>
    <row r="521" spans="12:12" s="20" customFormat="1">
      <c r="L521" s="54"/>
    </row>
    <row r="522" spans="12:12" s="20" customFormat="1">
      <c r="L522" s="54"/>
    </row>
    <row r="523" spans="12:12" s="20" customFormat="1">
      <c r="L523" s="54"/>
    </row>
    <row r="524" spans="12:12" s="20" customFormat="1">
      <c r="L524" s="54"/>
    </row>
    <row r="525" spans="12:12" s="20" customFormat="1">
      <c r="L525" s="54"/>
    </row>
    <row r="526" spans="12:12" s="20" customFormat="1">
      <c r="L526" s="54"/>
    </row>
    <row r="527" spans="12:12" s="20" customFormat="1">
      <c r="L527" s="54"/>
    </row>
    <row r="528" spans="12:12" s="20" customFormat="1">
      <c r="L528" s="54"/>
    </row>
    <row r="529" spans="12:12" s="20" customFormat="1">
      <c r="L529" s="54"/>
    </row>
    <row r="530" spans="12:12" s="20" customFormat="1">
      <c r="L530" s="54"/>
    </row>
    <row r="531" spans="12:12" s="20" customFormat="1">
      <c r="L531" s="54"/>
    </row>
    <row r="532" spans="12:12" s="20" customFormat="1">
      <c r="L532" s="54"/>
    </row>
    <row r="533" spans="12:12" s="20" customFormat="1">
      <c r="L533" s="54"/>
    </row>
    <row r="534" spans="12:12" s="20" customFormat="1">
      <c r="L534" s="54"/>
    </row>
    <row r="535" spans="12:12" s="20" customFormat="1">
      <c r="L535" s="54"/>
    </row>
    <row r="536" spans="12:12" s="20" customFormat="1">
      <c r="L536" s="54"/>
    </row>
    <row r="537" spans="12:12" s="20" customFormat="1">
      <c r="L537" s="54"/>
    </row>
    <row r="538" spans="12:12" s="20" customFormat="1">
      <c r="L538" s="54"/>
    </row>
    <row r="539" spans="12:12" s="20" customFormat="1">
      <c r="L539" s="54"/>
    </row>
    <row r="540" spans="12:12" s="20" customFormat="1">
      <c r="L540" s="54"/>
    </row>
    <row r="541" spans="12:12" s="20" customFormat="1">
      <c r="L541" s="54"/>
    </row>
    <row r="542" spans="12:12" s="20" customFormat="1">
      <c r="L542" s="54"/>
    </row>
    <row r="543" spans="12:12" s="20" customFormat="1">
      <c r="L543" s="54"/>
    </row>
    <row r="544" spans="12:12" s="20" customFormat="1">
      <c r="L544" s="54"/>
    </row>
    <row r="545" spans="12:12" s="20" customFormat="1">
      <c r="L545" s="54"/>
    </row>
    <row r="546" spans="12:12" s="20" customFormat="1">
      <c r="L546" s="54"/>
    </row>
    <row r="547" spans="12:12" s="20" customFormat="1">
      <c r="L547" s="54"/>
    </row>
    <row r="548" spans="12:12" s="20" customFormat="1">
      <c r="L548" s="54"/>
    </row>
    <row r="549" spans="12:12" s="20" customFormat="1">
      <c r="L549" s="54"/>
    </row>
    <row r="550" spans="12:12" s="20" customFormat="1">
      <c r="L550" s="54"/>
    </row>
    <row r="551" spans="12:12" s="20" customFormat="1">
      <c r="L551" s="54"/>
    </row>
    <row r="552" spans="12:12" s="20" customFormat="1">
      <c r="L552" s="54"/>
    </row>
    <row r="553" spans="12:12" s="20" customFormat="1">
      <c r="L553" s="54"/>
    </row>
    <row r="554" spans="12:12" s="20" customFormat="1">
      <c r="L554" s="54"/>
    </row>
    <row r="555" spans="12:12" s="20" customFormat="1">
      <c r="L555" s="54"/>
    </row>
    <row r="556" spans="12:12" s="20" customFormat="1">
      <c r="L556" s="54"/>
    </row>
    <row r="557" spans="12:12" s="20" customFormat="1">
      <c r="L557" s="54"/>
    </row>
    <row r="558" spans="12:12" s="20" customFormat="1">
      <c r="L558" s="54"/>
    </row>
    <row r="559" spans="12:12" s="20" customFormat="1">
      <c r="L559" s="54"/>
    </row>
    <row r="560" spans="12:12" s="20" customFormat="1">
      <c r="L560" s="54"/>
    </row>
    <row r="561" spans="12:12" s="20" customFormat="1">
      <c r="L561" s="54"/>
    </row>
    <row r="562" spans="12:12" s="20" customFormat="1">
      <c r="L562" s="54"/>
    </row>
    <row r="563" spans="12:12" s="20" customFormat="1">
      <c r="L563" s="54"/>
    </row>
    <row r="564" spans="12:12" s="20" customFormat="1">
      <c r="L564" s="54"/>
    </row>
    <row r="565" spans="12:12" s="20" customFormat="1">
      <c r="L565" s="54"/>
    </row>
    <row r="566" spans="12:12" s="20" customFormat="1">
      <c r="L566" s="54"/>
    </row>
    <row r="567" spans="12:12" s="20" customFormat="1">
      <c r="L567" s="54"/>
    </row>
    <row r="568" spans="12:12" s="20" customFormat="1">
      <c r="L568" s="54"/>
    </row>
    <row r="569" spans="12:12" s="20" customFormat="1">
      <c r="L569" s="54"/>
    </row>
    <row r="570" spans="12:12" s="20" customFormat="1">
      <c r="L570" s="54"/>
    </row>
    <row r="571" spans="12:12" s="20" customFormat="1">
      <c r="L571" s="54"/>
    </row>
    <row r="572" spans="12:12" s="20" customFormat="1">
      <c r="L572" s="54"/>
    </row>
    <row r="573" spans="12:12" s="20" customFormat="1">
      <c r="L573" s="54"/>
    </row>
    <row r="574" spans="12:12" s="20" customFormat="1">
      <c r="L574" s="54"/>
    </row>
    <row r="575" spans="12:12" s="20" customFormat="1">
      <c r="L575" s="54"/>
    </row>
    <row r="576" spans="12:12" s="20" customFormat="1">
      <c r="L576" s="54"/>
    </row>
    <row r="577" spans="12:12" s="20" customFormat="1">
      <c r="L577" s="54"/>
    </row>
    <row r="578" spans="12:12" s="20" customFormat="1">
      <c r="L578" s="54"/>
    </row>
    <row r="579" spans="12:12" s="20" customFormat="1">
      <c r="L579" s="54"/>
    </row>
    <row r="580" spans="12:12" s="20" customFormat="1">
      <c r="L580" s="54"/>
    </row>
    <row r="581" spans="12:12" s="20" customFormat="1">
      <c r="L581" s="54"/>
    </row>
    <row r="582" spans="12:12" s="20" customFormat="1">
      <c r="L582" s="54"/>
    </row>
    <row r="583" spans="12:12" s="20" customFormat="1">
      <c r="L583" s="54"/>
    </row>
    <row r="584" spans="12:12" s="20" customFormat="1">
      <c r="L584" s="54"/>
    </row>
    <row r="585" spans="12:12" s="20" customFormat="1">
      <c r="L585" s="54"/>
    </row>
    <row r="586" spans="12:12" s="20" customFormat="1">
      <c r="L586" s="54"/>
    </row>
    <row r="587" spans="12:12" s="20" customFormat="1">
      <c r="L587" s="54"/>
    </row>
    <row r="588" spans="12:12" s="20" customFormat="1">
      <c r="L588" s="54"/>
    </row>
    <row r="589" spans="12:12" s="20" customFormat="1">
      <c r="L589" s="54"/>
    </row>
    <row r="590" spans="12:12" s="20" customFormat="1">
      <c r="L590" s="54"/>
    </row>
    <row r="591" spans="12:12" s="20" customFormat="1">
      <c r="L591" s="54"/>
    </row>
    <row r="592" spans="12:12" s="20" customFormat="1">
      <c r="L592" s="54"/>
    </row>
    <row r="593" spans="12:12" s="20" customFormat="1">
      <c r="L593" s="54"/>
    </row>
    <row r="594" spans="12:12" s="20" customFormat="1">
      <c r="L594" s="54"/>
    </row>
    <row r="595" spans="12:12" s="20" customFormat="1">
      <c r="L595" s="54"/>
    </row>
    <row r="596" spans="12:12" s="20" customFormat="1">
      <c r="L596" s="54"/>
    </row>
    <row r="597" spans="12:12" s="20" customFormat="1">
      <c r="L597" s="54"/>
    </row>
    <row r="598" spans="12:12" s="20" customFormat="1">
      <c r="L598" s="54"/>
    </row>
    <row r="599" spans="12:12" s="20" customFormat="1">
      <c r="L599" s="54"/>
    </row>
    <row r="600" spans="12:12" s="20" customFormat="1">
      <c r="L600" s="54"/>
    </row>
    <row r="601" spans="12:12" s="20" customFormat="1">
      <c r="L601" s="54"/>
    </row>
    <row r="602" spans="12:12" s="20" customFormat="1">
      <c r="L602" s="54"/>
    </row>
    <row r="603" spans="12:12" s="20" customFormat="1">
      <c r="L603" s="54"/>
    </row>
    <row r="604" spans="12:12" s="20" customFormat="1">
      <c r="L604" s="54"/>
    </row>
    <row r="605" spans="12:12" s="20" customFormat="1">
      <c r="L605" s="54"/>
    </row>
    <row r="606" spans="12:12" s="20" customFormat="1">
      <c r="L606" s="54"/>
    </row>
    <row r="607" spans="12:12" s="20" customFormat="1">
      <c r="L607" s="54"/>
    </row>
    <row r="608" spans="12:12" s="20" customFormat="1">
      <c r="L608" s="54"/>
    </row>
    <row r="609" spans="12:12" s="20" customFormat="1">
      <c r="L609" s="54"/>
    </row>
    <row r="610" spans="12:12" s="20" customFormat="1">
      <c r="L610" s="54"/>
    </row>
    <row r="611" spans="12:12" s="20" customFormat="1">
      <c r="L611" s="54"/>
    </row>
    <row r="612" spans="12:12" s="20" customFormat="1">
      <c r="L612" s="54"/>
    </row>
    <row r="613" spans="12:12" s="20" customFormat="1">
      <c r="L613" s="54"/>
    </row>
    <row r="614" spans="12:12" s="20" customFormat="1">
      <c r="L614" s="54"/>
    </row>
    <row r="615" spans="12:12" s="20" customFormat="1">
      <c r="L615" s="54"/>
    </row>
    <row r="616" spans="12:12" s="20" customFormat="1">
      <c r="L616" s="54"/>
    </row>
    <row r="617" spans="12:12" s="20" customFormat="1">
      <c r="L617" s="54"/>
    </row>
    <row r="618" spans="12:12" s="20" customFormat="1">
      <c r="L618" s="54"/>
    </row>
    <row r="619" spans="12:12" s="20" customFormat="1">
      <c r="L619" s="54"/>
    </row>
    <row r="620" spans="12:12" s="20" customFormat="1">
      <c r="L620" s="54"/>
    </row>
    <row r="621" spans="12:12" s="20" customFormat="1">
      <c r="L621" s="54"/>
    </row>
    <row r="622" spans="12:12" s="20" customFormat="1">
      <c r="L622" s="54"/>
    </row>
    <row r="623" spans="12:12" s="20" customFormat="1">
      <c r="L623" s="54"/>
    </row>
    <row r="624" spans="12:12" s="20" customFormat="1">
      <c r="L624" s="54"/>
    </row>
    <row r="625" spans="12:12" s="20" customFormat="1">
      <c r="L625" s="54"/>
    </row>
    <row r="626" spans="12:12" s="20" customFormat="1">
      <c r="L626" s="54"/>
    </row>
    <row r="627" spans="12:12" s="20" customFormat="1">
      <c r="L627" s="54"/>
    </row>
    <row r="628" spans="12:12" s="20" customFormat="1">
      <c r="L628" s="54"/>
    </row>
    <row r="629" spans="12:12" s="20" customFormat="1">
      <c r="L629" s="54"/>
    </row>
    <row r="630" spans="12:12" s="20" customFormat="1">
      <c r="L630" s="54"/>
    </row>
    <row r="631" spans="12:12" s="20" customFormat="1">
      <c r="L631" s="54"/>
    </row>
    <row r="632" spans="12:12" s="20" customFormat="1">
      <c r="L632" s="54"/>
    </row>
    <row r="633" spans="12:12" s="20" customFormat="1">
      <c r="L633" s="54"/>
    </row>
    <row r="634" spans="12:12" s="20" customFormat="1">
      <c r="L634" s="54"/>
    </row>
    <row r="635" spans="12:12" s="20" customFormat="1">
      <c r="L635" s="54"/>
    </row>
    <row r="636" spans="12:12" s="20" customFormat="1">
      <c r="L636" s="54"/>
    </row>
    <row r="637" spans="12:12" s="20" customFormat="1">
      <c r="L637" s="54"/>
    </row>
    <row r="638" spans="12:12" s="20" customFormat="1">
      <c r="L638" s="54"/>
    </row>
    <row r="639" spans="12:12" s="20" customFormat="1">
      <c r="L639" s="54"/>
    </row>
    <row r="640" spans="12:12" s="20" customFormat="1">
      <c r="L640" s="54"/>
    </row>
    <row r="641" spans="12:12" s="20" customFormat="1">
      <c r="L641" s="54"/>
    </row>
    <row r="642" spans="12:12" s="20" customFormat="1">
      <c r="L642" s="54"/>
    </row>
    <row r="643" spans="12:12" s="20" customFormat="1">
      <c r="L643" s="54"/>
    </row>
    <row r="644" spans="12:12" s="20" customFormat="1">
      <c r="L644" s="54"/>
    </row>
    <row r="645" spans="12:12" s="20" customFormat="1">
      <c r="L645" s="54"/>
    </row>
    <row r="646" spans="12:12" s="20" customFormat="1">
      <c r="L646" s="54"/>
    </row>
    <row r="647" spans="12:12" s="20" customFormat="1">
      <c r="L647" s="54"/>
    </row>
    <row r="648" spans="12:12" s="20" customFormat="1">
      <c r="L648" s="54"/>
    </row>
    <row r="649" spans="12:12" s="20" customFormat="1">
      <c r="L649" s="54"/>
    </row>
    <row r="650" spans="12:12" s="20" customFormat="1">
      <c r="L650" s="54"/>
    </row>
    <row r="651" spans="12:12" s="20" customFormat="1">
      <c r="L651" s="54"/>
    </row>
    <row r="652" spans="12:12" s="20" customFormat="1">
      <c r="L652" s="54"/>
    </row>
    <row r="653" spans="12:12" s="20" customFormat="1">
      <c r="L653" s="54"/>
    </row>
    <row r="654" spans="12:12" s="20" customFormat="1">
      <c r="L654" s="54"/>
    </row>
    <row r="655" spans="12:12" s="20" customFormat="1">
      <c r="L655" s="54"/>
    </row>
    <row r="656" spans="12:12" s="20" customFormat="1">
      <c r="L656" s="54"/>
    </row>
    <row r="657" spans="12:12" s="20" customFormat="1">
      <c r="L657" s="54"/>
    </row>
    <row r="658" spans="12:12" s="20" customFormat="1">
      <c r="L658" s="54"/>
    </row>
    <row r="659" spans="12:12" s="20" customFormat="1">
      <c r="L659" s="54"/>
    </row>
    <row r="660" spans="12:12" s="20" customFormat="1">
      <c r="L660" s="54"/>
    </row>
    <row r="661" spans="12:12" s="20" customFormat="1">
      <c r="L661" s="54"/>
    </row>
    <row r="662" spans="12:12" s="20" customFormat="1">
      <c r="L662" s="54"/>
    </row>
    <row r="663" spans="12:12" s="20" customFormat="1">
      <c r="L663" s="54"/>
    </row>
    <row r="664" spans="12:12" s="20" customFormat="1">
      <c r="L664" s="54"/>
    </row>
    <row r="665" spans="12:12" s="20" customFormat="1">
      <c r="L665" s="54"/>
    </row>
    <row r="666" spans="12:12" s="20" customFormat="1">
      <c r="L666" s="54"/>
    </row>
    <row r="667" spans="12:12" s="20" customFormat="1">
      <c r="L667" s="54"/>
    </row>
    <row r="668" spans="12:12" s="20" customFormat="1">
      <c r="L668" s="54"/>
    </row>
    <row r="669" spans="12:12" s="20" customFormat="1">
      <c r="L669" s="54"/>
    </row>
    <row r="670" spans="12:12" s="20" customFormat="1">
      <c r="L670" s="54"/>
    </row>
    <row r="671" spans="12:12" s="20" customFormat="1">
      <c r="L671" s="54"/>
    </row>
    <row r="672" spans="12:12" s="20" customFormat="1">
      <c r="L672" s="54"/>
    </row>
    <row r="673" spans="12:12" s="20" customFormat="1">
      <c r="L673" s="54"/>
    </row>
    <row r="674" spans="12:12" s="20" customFormat="1">
      <c r="L674" s="54"/>
    </row>
    <row r="675" spans="12:12" s="20" customFormat="1">
      <c r="L675" s="54"/>
    </row>
    <row r="676" spans="12:12" s="20" customFormat="1">
      <c r="L676" s="54"/>
    </row>
    <row r="677" spans="12:12" s="20" customFormat="1">
      <c r="L677" s="54"/>
    </row>
    <row r="678" spans="12:12" s="20" customFormat="1">
      <c r="L678" s="54"/>
    </row>
    <row r="679" spans="12:12" s="20" customFormat="1">
      <c r="L679" s="54"/>
    </row>
    <row r="680" spans="12:12" s="20" customFormat="1">
      <c r="L680" s="54"/>
    </row>
    <row r="681" spans="12:12" s="20" customFormat="1">
      <c r="L681" s="54"/>
    </row>
    <row r="682" spans="12:12" s="20" customFormat="1">
      <c r="L682" s="54"/>
    </row>
    <row r="683" spans="12:12" s="20" customFormat="1">
      <c r="L683" s="54"/>
    </row>
    <row r="684" spans="12:12" s="20" customFormat="1">
      <c r="L684" s="54"/>
    </row>
    <row r="685" spans="12:12" s="20" customFormat="1">
      <c r="L685" s="54"/>
    </row>
    <row r="686" spans="12:12" s="20" customFormat="1">
      <c r="L686" s="54"/>
    </row>
    <row r="687" spans="12:12" s="20" customFormat="1">
      <c r="L687" s="54"/>
    </row>
    <row r="688" spans="12:12" s="20" customFormat="1">
      <c r="L688" s="54"/>
    </row>
    <row r="689" spans="12:12" s="20" customFormat="1">
      <c r="L689" s="54"/>
    </row>
    <row r="690" spans="12:12" s="20" customFormat="1">
      <c r="L690" s="54"/>
    </row>
    <row r="691" spans="12:12" s="20" customFormat="1">
      <c r="L691" s="54"/>
    </row>
    <row r="692" spans="12:12" s="20" customFormat="1">
      <c r="L692" s="54"/>
    </row>
    <row r="693" spans="12:12" s="20" customFormat="1">
      <c r="L693" s="54"/>
    </row>
    <row r="694" spans="12:12" s="20" customFormat="1">
      <c r="L694" s="54"/>
    </row>
    <row r="695" spans="12:12" s="20" customFormat="1">
      <c r="L695" s="54"/>
    </row>
    <row r="696" spans="12:12" s="20" customFormat="1">
      <c r="L696" s="54"/>
    </row>
    <row r="697" spans="12:12" s="20" customFormat="1">
      <c r="L697" s="54"/>
    </row>
    <row r="698" spans="12:12" s="20" customFormat="1">
      <c r="L698" s="54"/>
    </row>
    <row r="699" spans="12:12" s="20" customFormat="1">
      <c r="L699" s="54"/>
    </row>
    <row r="700" spans="12:12" s="20" customFormat="1">
      <c r="L700" s="54"/>
    </row>
    <row r="701" spans="12:12" s="20" customFormat="1">
      <c r="L701" s="54"/>
    </row>
    <row r="702" spans="12:12" s="20" customFormat="1">
      <c r="L702" s="54"/>
    </row>
    <row r="703" spans="12:12" s="20" customFormat="1">
      <c r="L703" s="54"/>
    </row>
    <row r="704" spans="12:12" s="20" customFormat="1">
      <c r="L704" s="54"/>
    </row>
    <row r="705" spans="12:12" s="20" customFormat="1">
      <c r="L705" s="54"/>
    </row>
    <row r="706" spans="12:12" s="20" customFormat="1">
      <c r="L706" s="54"/>
    </row>
    <row r="707" spans="12:12" s="20" customFormat="1">
      <c r="L707" s="54"/>
    </row>
    <row r="708" spans="12:12" s="20" customFormat="1">
      <c r="L708" s="54"/>
    </row>
    <row r="709" spans="12:12" s="20" customFormat="1">
      <c r="L709" s="54"/>
    </row>
    <row r="710" spans="12:12" s="20" customFormat="1">
      <c r="L710" s="54"/>
    </row>
    <row r="711" spans="12:12" s="20" customFormat="1">
      <c r="L711" s="54"/>
    </row>
    <row r="712" spans="12:12" s="20" customFormat="1">
      <c r="L712" s="54"/>
    </row>
    <row r="713" spans="12:12" s="20" customFormat="1">
      <c r="L713" s="54"/>
    </row>
    <row r="714" spans="12:12" s="20" customFormat="1">
      <c r="L714" s="54"/>
    </row>
    <row r="715" spans="12:12" s="20" customFormat="1">
      <c r="L715" s="54"/>
    </row>
    <row r="716" spans="12:12" s="20" customFormat="1">
      <c r="L716" s="54"/>
    </row>
    <row r="717" spans="12:12" s="20" customFormat="1">
      <c r="L717" s="54"/>
    </row>
    <row r="718" spans="12:12" s="20" customFormat="1">
      <c r="L718" s="54"/>
    </row>
    <row r="719" spans="12:12" s="20" customFormat="1">
      <c r="L719" s="54"/>
    </row>
    <row r="720" spans="12:12" s="20" customFormat="1">
      <c r="L720" s="54"/>
    </row>
    <row r="721" spans="12:12" s="20" customFormat="1">
      <c r="L721" s="54"/>
    </row>
    <row r="722" spans="12:12" s="20" customFormat="1">
      <c r="L722" s="54"/>
    </row>
    <row r="723" spans="12:12" s="20" customFormat="1">
      <c r="L723" s="54"/>
    </row>
    <row r="724" spans="12:12" s="20" customFormat="1">
      <c r="L724" s="54"/>
    </row>
    <row r="725" spans="12:12" s="20" customFormat="1">
      <c r="L725" s="54"/>
    </row>
    <row r="726" spans="12:12" s="20" customFormat="1">
      <c r="L726" s="54"/>
    </row>
    <row r="727" spans="12:12" s="20" customFormat="1">
      <c r="L727" s="54"/>
    </row>
    <row r="728" spans="12:12" s="20" customFormat="1">
      <c r="L728" s="54"/>
    </row>
    <row r="729" spans="12:12" s="20" customFormat="1">
      <c r="L729" s="54"/>
    </row>
    <row r="730" spans="12:12" s="20" customFormat="1">
      <c r="L730" s="54"/>
    </row>
    <row r="731" spans="12:12" s="20" customFormat="1">
      <c r="L731" s="54"/>
    </row>
    <row r="732" spans="12:12" s="20" customFormat="1">
      <c r="L732" s="54"/>
    </row>
    <row r="733" spans="12:12" s="20" customFormat="1">
      <c r="L733" s="54"/>
    </row>
    <row r="734" spans="12:12" s="20" customFormat="1">
      <c r="L734" s="54"/>
    </row>
    <row r="735" spans="12:12" s="20" customFormat="1">
      <c r="L735" s="54"/>
    </row>
    <row r="736" spans="12:12" s="20" customFormat="1">
      <c r="L736" s="54"/>
    </row>
    <row r="737" spans="12:12" s="20" customFormat="1">
      <c r="L737" s="54"/>
    </row>
    <row r="738" spans="12:12" s="20" customFormat="1">
      <c r="L738" s="54"/>
    </row>
    <row r="739" spans="12:12" s="20" customFormat="1">
      <c r="L739" s="54"/>
    </row>
    <row r="740" spans="12:12" s="20" customFormat="1">
      <c r="L740" s="54"/>
    </row>
    <row r="741" spans="12:12" s="20" customFormat="1">
      <c r="L741" s="54"/>
    </row>
    <row r="742" spans="12:12" s="20" customFormat="1">
      <c r="L742" s="54"/>
    </row>
    <row r="743" spans="12:12" s="20" customFormat="1">
      <c r="L743" s="54"/>
    </row>
    <row r="744" spans="12:12" s="20" customFormat="1">
      <c r="L744" s="54"/>
    </row>
    <row r="745" spans="12:12" s="20" customFormat="1">
      <c r="L745" s="54"/>
    </row>
    <row r="746" spans="12:12" s="20" customFormat="1">
      <c r="L746" s="54"/>
    </row>
    <row r="747" spans="12:12" s="20" customFormat="1">
      <c r="L747" s="54"/>
    </row>
    <row r="748" spans="12:12" s="20" customFormat="1">
      <c r="L748" s="54"/>
    </row>
    <row r="749" spans="12:12" s="20" customFormat="1">
      <c r="L749" s="54"/>
    </row>
    <row r="750" spans="12:12" s="20" customFormat="1">
      <c r="L750" s="54"/>
    </row>
    <row r="751" spans="12:12" s="20" customFormat="1">
      <c r="L751" s="54"/>
    </row>
    <row r="752" spans="12:12" s="20" customFormat="1">
      <c r="L752" s="54"/>
    </row>
    <row r="753" spans="12:12" s="20" customFormat="1">
      <c r="L753" s="54"/>
    </row>
    <row r="754" spans="12:12" s="20" customFormat="1">
      <c r="L754" s="54"/>
    </row>
    <row r="755" spans="12:12" s="20" customFormat="1">
      <c r="L755" s="54"/>
    </row>
    <row r="756" spans="12:12" s="20" customFormat="1">
      <c r="L756" s="54"/>
    </row>
    <row r="757" spans="12:12" s="20" customFormat="1">
      <c r="L757" s="54"/>
    </row>
    <row r="758" spans="12:12" s="20" customFormat="1">
      <c r="L758" s="54"/>
    </row>
    <row r="759" spans="12:12" s="20" customFormat="1">
      <c r="L759" s="54"/>
    </row>
    <row r="760" spans="12:12" s="20" customFormat="1">
      <c r="L760" s="54"/>
    </row>
    <row r="761" spans="12:12" s="20" customFormat="1">
      <c r="L761" s="54"/>
    </row>
    <row r="762" spans="12:12" s="20" customFormat="1">
      <c r="L762" s="54"/>
    </row>
    <row r="763" spans="12:12" s="20" customFormat="1">
      <c r="L763" s="54"/>
    </row>
    <row r="764" spans="12:12" s="20" customFormat="1">
      <c r="L764" s="54"/>
    </row>
    <row r="765" spans="12:12" s="20" customFormat="1">
      <c r="L765" s="54"/>
    </row>
    <row r="766" spans="12:12" s="20" customFormat="1">
      <c r="L766" s="54"/>
    </row>
    <row r="767" spans="12:12" s="20" customFormat="1">
      <c r="L767" s="54"/>
    </row>
    <row r="768" spans="12:12" s="20" customFormat="1">
      <c r="L768" s="54"/>
    </row>
    <row r="769" spans="12:12" s="20" customFormat="1">
      <c r="L769" s="54"/>
    </row>
    <row r="770" spans="12:12" s="20" customFormat="1">
      <c r="L770" s="54"/>
    </row>
    <row r="771" spans="12:12" s="20" customFormat="1">
      <c r="L771" s="54"/>
    </row>
    <row r="772" spans="12:12" s="20" customFormat="1">
      <c r="L772" s="54"/>
    </row>
    <row r="773" spans="12:12" s="20" customFormat="1">
      <c r="L773" s="54"/>
    </row>
    <row r="774" spans="12:12" s="20" customFormat="1">
      <c r="L774" s="54"/>
    </row>
    <row r="775" spans="12:12" s="20" customFormat="1">
      <c r="L775" s="54"/>
    </row>
    <row r="776" spans="12:12" s="20" customFormat="1">
      <c r="L776" s="54"/>
    </row>
    <row r="777" spans="12:12" s="20" customFormat="1">
      <c r="L777" s="54"/>
    </row>
    <row r="778" spans="12:12" s="20" customFormat="1">
      <c r="L778" s="54"/>
    </row>
    <row r="779" spans="12:12" s="20" customFormat="1">
      <c r="L779" s="54"/>
    </row>
    <row r="780" spans="12:12" s="20" customFormat="1">
      <c r="L780" s="54"/>
    </row>
    <row r="781" spans="12:12" s="20" customFormat="1">
      <c r="L781" s="54"/>
    </row>
    <row r="782" spans="12:12" s="20" customFormat="1">
      <c r="L782" s="54"/>
    </row>
    <row r="783" spans="12:12" s="20" customFormat="1">
      <c r="L783" s="54"/>
    </row>
    <row r="784" spans="12:12" s="20" customFormat="1">
      <c r="L784" s="54"/>
    </row>
    <row r="785" spans="12:12" s="20" customFormat="1">
      <c r="L785" s="54"/>
    </row>
    <row r="786" spans="12:12" s="20" customFormat="1">
      <c r="L786" s="54"/>
    </row>
    <row r="787" spans="12:12" s="20" customFormat="1">
      <c r="L787" s="54"/>
    </row>
    <row r="788" spans="12:12" s="20" customFormat="1">
      <c r="L788" s="54"/>
    </row>
    <row r="789" spans="12:12" s="20" customFormat="1">
      <c r="L789" s="54"/>
    </row>
    <row r="790" spans="12:12" s="20" customFormat="1">
      <c r="L790" s="54"/>
    </row>
    <row r="791" spans="12:12" s="20" customFormat="1">
      <c r="L791" s="54"/>
    </row>
    <row r="792" spans="12:12" s="20" customFormat="1">
      <c r="L792" s="54"/>
    </row>
    <row r="793" spans="12:12" s="20" customFormat="1">
      <c r="L793" s="54"/>
    </row>
    <row r="794" spans="12:12" s="20" customFormat="1">
      <c r="L794" s="54"/>
    </row>
    <row r="795" spans="12:12" s="20" customFormat="1">
      <c r="L795" s="54"/>
    </row>
    <row r="796" spans="12:12" s="20" customFormat="1">
      <c r="L796" s="54"/>
    </row>
    <row r="797" spans="12:12" s="20" customFormat="1">
      <c r="L797" s="54"/>
    </row>
    <row r="798" spans="12:12" s="20" customFormat="1">
      <c r="L798" s="54"/>
    </row>
    <row r="799" spans="12:12" s="20" customFormat="1">
      <c r="L799" s="54"/>
    </row>
    <row r="800" spans="12:12" s="20" customFormat="1">
      <c r="L800" s="54"/>
    </row>
    <row r="801" spans="12:12" s="20" customFormat="1">
      <c r="L801" s="54"/>
    </row>
    <row r="802" spans="12:12" s="20" customFormat="1">
      <c r="L802" s="54"/>
    </row>
    <row r="803" spans="12:12" s="20" customFormat="1">
      <c r="L803" s="54"/>
    </row>
    <row r="804" spans="12:12" s="20" customFormat="1">
      <c r="L804" s="54"/>
    </row>
    <row r="805" spans="12:12" s="20" customFormat="1">
      <c r="L805" s="54"/>
    </row>
    <row r="806" spans="12:12" s="20" customFormat="1">
      <c r="L806" s="54"/>
    </row>
    <row r="807" spans="12:12" s="20" customFormat="1">
      <c r="L807" s="54"/>
    </row>
    <row r="808" spans="12:12" s="20" customFormat="1">
      <c r="L808" s="54"/>
    </row>
    <row r="809" spans="12:12" s="20" customFormat="1">
      <c r="L809" s="54"/>
    </row>
    <row r="810" spans="12:12" s="20" customFormat="1">
      <c r="L810" s="54"/>
    </row>
    <row r="811" spans="12:12" s="20" customFormat="1">
      <c r="L811" s="54"/>
    </row>
    <row r="812" spans="12:12" s="20" customFormat="1">
      <c r="L812" s="54"/>
    </row>
    <row r="813" spans="12:12" s="20" customFormat="1">
      <c r="L813" s="54"/>
    </row>
    <row r="814" spans="12:12" s="20" customFormat="1">
      <c r="L814" s="54"/>
    </row>
    <row r="815" spans="12:12" s="20" customFormat="1">
      <c r="L815" s="54"/>
    </row>
    <row r="816" spans="12:12" s="20" customFormat="1">
      <c r="L816" s="54"/>
    </row>
    <row r="817" spans="12:12" s="20" customFormat="1">
      <c r="L817" s="54"/>
    </row>
    <row r="818" spans="12:12" s="20" customFormat="1">
      <c r="L818" s="54"/>
    </row>
    <row r="819" spans="12:12" s="20" customFormat="1">
      <c r="L819" s="54"/>
    </row>
    <row r="820" spans="12:12" s="20" customFormat="1">
      <c r="L820" s="54"/>
    </row>
    <row r="821" spans="12:12" s="20" customFormat="1">
      <c r="L821" s="54"/>
    </row>
    <row r="822" spans="12:12" s="20" customFormat="1">
      <c r="L822" s="54"/>
    </row>
    <row r="823" spans="12:12" s="20" customFormat="1">
      <c r="L823" s="54"/>
    </row>
    <row r="824" spans="12:12" s="20" customFormat="1">
      <c r="L824" s="54"/>
    </row>
    <row r="825" spans="12:12" s="20" customFormat="1">
      <c r="L825" s="54"/>
    </row>
    <row r="826" spans="12:12" s="20" customFormat="1">
      <c r="L826" s="54"/>
    </row>
    <row r="827" spans="12:12" s="20" customFormat="1">
      <c r="L827" s="54"/>
    </row>
    <row r="828" spans="12:12" s="20" customFormat="1">
      <c r="L828" s="54"/>
    </row>
    <row r="829" spans="12:12" s="20" customFormat="1">
      <c r="L829" s="54"/>
    </row>
    <row r="830" spans="12:12" s="20" customFormat="1">
      <c r="L830" s="54"/>
    </row>
    <row r="831" spans="12:12" s="20" customFormat="1">
      <c r="L831" s="54"/>
    </row>
    <row r="832" spans="12:12" s="20" customFormat="1">
      <c r="L832" s="54"/>
    </row>
    <row r="833" spans="12:12" s="20" customFormat="1">
      <c r="L833" s="54"/>
    </row>
    <row r="834" spans="12:12" s="20" customFormat="1">
      <c r="L834" s="54"/>
    </row>
    <row r="835" spans="12:12" s="20" customFormat="1">
      <c r="L835" s="54"/>
    </row>
    <row r="836" spans="12:12" s="20" customFormat="1">
      <c r="L836" s="54"/>
    </row>
    <row r="837" spans="12:12" s="20" customFormat="1">
      <c r="L837" s="54"/>
    </row>
    <row r="838" spans="12:12" s="20" customFormat="1">
      <c r="L838" s="54"/>
    </row>
    <row r="839" spans="12:12" s="20" customFormat="1">
      <c r="L839" s="54"/>
    </row>
    <row r="840" spans="12:12" s="20" customFormat="1">
      <c r="L840" s="54"/>
    </row>
    <row r="841" spans="12:12" s="20" customFormat="1">
      <c r="L841" s="54"/>
    </row>
    <row r="842" spans="12:12" s="20" customFormat="1">
      <c r="L842" s="54"/>
    </row>
    <row r="843" spans="12:12" s="20" customFormat="1">
      <c r="L843" s="54"/>
    </row>
    <row r="844" spans="12:12" s="20" customFormat="1">
      <c r="L844" s="54"/>
    </row>
    <row r="845" spans="12:12" s="20" customFormat="1">
      <c r="L845" s="54"/>
    </row>
    <row r="846" spans="12:12" s="20" customFormat="1">
      <c r="L846" s="54"/>
    </row>
    <row r="847" spans="12:12" s="20" customFormat="1">
      <c r="L847" s="54"/>
    </row>
    <row r="848" spans="12:12" s="20" customFormat="1">
      <c r="L848" s="54"/>
    </row>
    <row r="849" spans="12:12" s="20" customFormat="1">
      <c r="L849" s="54"/>
    </row>
    <row r="850" spans="12:12" s="20" customFormat="1">
      <c r="L850" s="54"/>
    </row>
    <row r="851" spans="12:12" s="20" customFormat="1">
      <c r="L851" s="54"/>
    </row>
    <row r="852" spans="12:12" s="20" customFormat="1">
      <c r="L852" s="54"/>
    </row>
    <row r="853" spans="12:12" s="20" customFormat="1">
      <c r="L853" s="54"/>
    </row>
    <row r="854" spans="12:12" s="20" customFormat="1">
      <c r="L854" s="54"/>
    </row>
    <row r="855" spans="12:12" s="20" customFormat="1">
      <c r="L855" s="54"/>
    </row>
    <row r="856" spans="12:12" s="20" customFormat="1">
      <c r="L856" s="54"/>
    </row>
    <row r="857" spans="12:12" s="20" customFormat="1">
      <c r="L857" s="54"/>
    </row>
    <row r="858" spans="12:12" s="20" customFormat="1">
      <c r="L858" s="54"/>
    </row>
    <row r="859" spans="12:12" s="20" customFormat="1">
      <c r="L859" s="54"/>
    </row>
    <row r="860" spans="12:12" s="20" customFormat="1">
      <c r="L860" s="54"/>
    </row>
    <row r="861" spans="12:12" s="20" customFormat="1">
      <c r="L861" s="54"/>
    </row>
    <row r="862" spans="12:12" s="20" customFormat="1">
      <c r="L862" s="54"/>
    </row>
    <row r="863" spans="12:12" s="20" customFormat="1">
      <c r="L863" s="54"/>
    </row>
    <row r="864" spans="12:12" s="20" customFormat="1">
      <c r="L864" s="54"/>
    </row>
    <row r="865" spans="12:12" s="20" customFormat="1">
      <c r="L865" s="54"/>
    </row>
    <row r="866" spans="12:12" s="20" customFormat="1">
      <c r="L866" s="54"/>
    </row>
    <row r="867" spans="12:12" s="20" customFormat="1">
      <c r="L867" s="54"/>
    </row>
    <row r="868" spans="12:12" s="20" customFormat="1">
      <c r="L868" s="54"/>
    </row>
    <row r="869" spans="12:12" s="20" customFormat="1">
      <c r="L869" s="54"/>
    </row>
    <row r="870" spans="12:12" s="20" customFormat="1">
      <c r="L870" s="54"/>
    </row>
    <row r="871" spans="12:12" s="20" customFormat="1">
      <c r="L871" s="54"/>
    </row>
    <row r="872" spans="12:12" s="20" customFormat="1">
      <c r="L872" s="54"/>
    </row>
    <row r="873" spans="12:12" s="20" customFormat="1">
      <c r="L873" s="54"/>
    </row>
    <row r="874" spans="12:12" s="20" customFormat="1">
      <c r="L874" s="54"/>
    </row>
    <row r="875" spans="12:12" s="20" customFormat="1">
      <c r="L875" s="54"/>
    </row>
    <row r="876" spans="12:12" s="20" customFormat="1">
      <c r="L876" s="54"/>
    </row>
    <row r="877" spans="12:12" s="20" customFormat="1">
      <c r="L877" s="54"/>
    </row>
    <row r="878" spans="12:12" s="20" customFormat="1">
      <c r="L878" s="54"/>
    </row>
    <row r="879" spans="12:12" s="20" customFormat="1">
      <c r="L879" s="54"/>
    </row>
    <row r="880" spans="12:12" s="20" customFormat="1">
      <c r="L880" s="54"/>
    </row>
    <row r="881" spans="12:12" s="20" customFormat="1">
      <c r="L881" s="54"/>
    </row>
    <row r="882" spans="12:12" s="20" customFormat="1">
      <c r="L882" s="54"/>
    </row>
    <row r="883" spans="12:12" s="20" customFormat="1">
      <c r="L883" s="54"/>
    </row>
    <row r="884" spans="12:12" s="20" customFormat="1">
      <c r="L884" s="54"/>
    </row>
    <row r="885" spans="12:12" s="20" customFormat="1">
      <c r="L885" s="54"/>
    </row>
    <row r="886" spans="12:12" s="20" customFormat="1">
      <c r="L886" s="54"/>
    </row>
    <row r="887" spans="12:12" s="20" customFormat="1">
      <c r="L887" s="54"/>
    </row>
    <row r="888" spans="12:12" s="20" customFormat="1">
      <c r="L888" s="54"/>
    </row>
    <row r="889" spans="12:12" s="20" customFormat="1">
      <c r="L889" s="54"/>
    </row>
    <row r="890" spans="12:12" s="20" customFormat="1">
      <c r="L890" s="54"/>
    </row>
    <row r="891" spans="12:12" s="20" customFormat="1">
      <c r="L891" s="54"/>
    </row>
    <row r="892" spans="12:12" s="20" customFormat="1">
      <c r="L892" s="54"/>
    </row>
    <row r="893" spans="12:12" s="20" customFormat="1">
      <c r="L893" s="54"/>
    </row>
    <row r="894" spans="12:12" s="20" customFormat="1">
      <c r="L894" s="54"/>
    </row>
    <row r="895" spans="12:12" s="20" customFormat="1">
      <c r="L895" s="54"/>
    </row>
    <row r="896" spans="12:12" s="20" customFormat="1">
      <c r="L896" s="54"/>
    </row>
    <row r="897" spans="12:12" s="20" customFormat="1">
      <c r="L897" s="54"/>
    </row>
    <row r="898" spans="12:12" s="20" customFormat="1">
      <c r="L898" s="54"/>
    </row>
    <row r="899" spans="12:12" s="20" customFormat="1">
      <c r="L899" s="54"/>
    </row>
    <row r="900" spans="12:12" s="20" customFormat="1">
      <c r="L900" s="54"/>
    </row>
    <row r="901" spans="12:12" s="20" customFormat="1">
      <c r="L901" s="54"/>
    </row>
    <row r="902" spans="12:12" s="20" customFormat="1">
      <c r="L902" s="54"/>
    </row>
    <row r="903" spans="12:12" s="20" customFormat="1">
      <c r="L903" s="54"/>
    </row>
    <row r="904" spans="12:12" s="20" customFormat="1">
      <c r="L904" s="54"/>
    </row>
    <row r="905" spans="12:12" s="20" customFormat="1">
      <c r="L905" s="54"/>
    </row>
    <row r="906" spans="12:12" s="20" customFormat="1">
      <c r="L906" s="54"/>
    </row>
    <row r="907" spans="12:12" s="20" customFormat="1">
      <c r="L907" s="54"/>
    </row>
    <row r="908" spans="12:12" s="20" customFormat="1">
      <c r="L908" s="54"/>
    </row>
    <row r="909" spans="12:12" s="20" customFormat="1">
      <c r="L909" s="54"/>
    </row>
    <row r="910" spans="12:12" s="20" customFormat="1">
      <c r="L910" s="54"/>
    </row>
    <row r="911" spans="12:12" s="20" customFormat="1">
      <c r="L911" s="54"/>
    </row>
    <row r="912" spans="12:12" s="20" customFormat="1">
      <c r="L912" s="54"/>
    </row>
    <row r="913" spans="12:12" s="20" customFormat="1">
      <c r="L913" s="54"/>
    </row>
    <row r="914" spans="12:12" s="20" customFormat="1">
      <c r="L914" s="54"/>
    </row>
    <row r="915" spans="12:12" s="20" customFormat="1">
      <c r="L915" s="54"/>
    </row>
    <row r="916" spans="12:12" s="20" customFormat="1">
      <c r="L916" s="54"/>
    </row>
    <row r="917" spans="12:12" s="20" customFormat="1">
      <c r="L917" s="54"/>
    </row>
    <row r="918" spans="12:12" s="20" customFormat="1">
      <c r="L918" s="54"/>
    </row>
    <row r="919" spans="12:12" s="20" customFormat="1">
      <c r="L919" s="54"/>
    </row>
    <row r="920" spans="12:12" s="20" customFormat="1">
      <c r="L920" s="54"/>
    </row>
    <row r="921" spans="12:12" s="20" customFormat="1">
      <c r="L921" s="54"/>
    </row>
    <row r="922" spans="12:12" s="20" customFormat="1">
      <c r="L922" s="54"/>
    </row>
    <row r="923" spans="12:12" s="20" customFormat="1">
      <c r="L923" s="54"/>
    </row>
    <row r="924" spans="12:12" s="20" customFormat="1">
      <c r="L924" s="54"/>
    </row>
    <row r="925" spans="12:12" s="20" customFormat="1">
      <c r="L925" s="54"/>
    </row>
    <row r="926" spans="12:12" s="20" customFormat="1">
      <c r="L926" s="54"/>
    </row>
    <row r="927" spans="12:12" s="20" customFormat="1">
      <c r="L927" s="54"/>
    </row>
    <row r="928" spans="12:12" s="20" customFormat="1">
      <c r="L928" s="54"/>
    </row>
    <row r="929" spans="12:12" s="20" customFormat="1">
      <c r="L929" s="54"/>
    </row>
    <row r="930" spans="12:12" s="20" customFormat="1">
      <c r="L930" s="54"/>
    </row>
    <row r="931" spans="12:12" s="20" customFormat="1">
      <c r="L931" s="54"/>
    </row>
    <row r="932" spans="12:12" s="20" customFormat="1">
      <c r="L932" s="54"/>
    </row>
    <row r="933" spans="12:12" s="20" customFormat="1">
      <c r="L933" s="54"/>
    </row>
    <row r="934" spans="12:12" s="20" customFormat="1">
      <c r="L934" s="54"/>
    </row>
    <row r="935" spans="12:12" s="20" customFormat="1">
      <c r="L935" s="54"/>
    </row>
    <row r="936" spans="12:12" s="20" customFormat="1">
      <c r="L936" s="54"/>
    </row>
    <row r="937" spans="12:12" s="20" customFormat="1">
      <c r="L937" s="54"/>
    </row>
    <row r="938" spans="12:12" s="20" customFormat="1">
      <c r="L938" s="54"/>
    </row>
    <row r="939" spans="12:12" s="20" customFormat="1">
      <c r="L939" s="54"/>
    </row>
    <row r="940" spans="12:12" s="20" customFormat="1">
      <c r="L940" s="54"/>
    </row>
    <row r="941" spans="12:12" s="20" customFormat="1">
      <c r="L941" s="54"/>
    </row>
    <row r="942" spans="12:12" s="20" customFormat="1">
      <c r="L942" s="54"/>
    </row>
    <row r="943" spans="12:12" s="20" customFormat="1">
      <c r="L943" s="54"/>
    </row>
    <row r="944" spans="12:12" s="20" customFormat="1">
      <c r="L944" s="54"/>
    </row>
    <row r="945" spans="12:12" s="20" customFormat="1">
      <c r="L945" s="54"/>
    </row>
    <row r="946" spans="12:12" s="20" customFormat="1">
      <c r="L946" s="54"/>
    </row>
    <row r="947" spans="12:12" s="20" customFormat="1">
      <c r="L947" s="54"/>
    </row>
    <row r="948" spans="12:12" s="20" customFormat="1">
      <c r="L948" s="54"/>
    </row>
    <row r="949" spans="12:12" s="20" customFormat="1">
      <c r="L949" s="54"/>
    </row>
    <row r="950" spans="12:12" s="20" customFormat="1">
      <c r="L950" s="54"/>
    </row>
    <row r="951" spans="12:12" s="20" customFormat="1">
      <c r="L951" s="54"/>
    </row>
    <row r="952" spans="12:12" s="20" customFormat="1">
      <c r="L952" s="54"/>
    </row>
    <row r="953" spans="12:12" s="20" customFormat="1">
      <c r="L953" s="54"/>
    </row>
    <row r="954" spans="12:12" s="20" customFormat="1">
      <c r="L954" s="54"/>
    </row>
    <row r="955" spans="12:12" s="20" customFormat="1">
      <c r="L955" s="54"/>
    </row>
    <row r="956" spans="12:12" s="20" customFormat="1">
      <c r="L956" s="54"/>
    </row>
    <row r="957" spans="12:12" s="20" customFormat="1">
      <c r="L957" s="54"/>
    </row>
    <row r="958" spans="12:12" s="20" customFormat="1">
      <c r="L958" s="54"/>
    </row>
    <row r="959" spans="12:12" s="20" customFormat="1">
      <c r="L959" s="54"/>
    </row>
    <row r="960" spans="12:12" s="20" customFormat="1">
      <c r="L960" s="54"/>
    </row>
    <row r="961" spans="12:12" s="20" customFormat="1">
      <c r="L961" s="54"/>
    </row>
    <row r="962" spans="12:12" s="20" customFormat="1">
      <c r="L962" s="54"/>
    </row>
    <row r="963" spans="12:12" s="20" customFormat="1">
      <c r="L963" s="54"/>
    </row>
    <row r="964" spans="12:12" s="20" customFormat="1">
      <c r="L964" s="54"/>
    </row>
    <row r="965" spans="12:12" s="20" customFormat="1">
      <c r="L965" s="54"/>
    </row>
    <row r="966" spans="12:12" s="20" customFormat="1">
      <c r="L966" s="54"/>
    </row>
    <row r="967" spans="12:12" s="20" customFormat="1">
      <c r="L967" s="54"/>
    </row>
    <row r="968" spans="12:12" s="20" customFormat="1">
      <c r="L968" s="54"/>
    </row>
    <row r="969" spans="12:12" s="20" customFormat="1">
      <c r="L969" s="54"/>
    </row>
    <row r="970" spans="12:12" s="20" customFormat="1">
      <c r="L970" s="54"/>
    </row>
    <row r="971" spans="12:12" s="20" customFormat="1">
      <c r="L971" s="54"/>
    </row>
    <row r="972" spans="12:12" s="20" customFormat="1">
      <c r="L972" s="54"/>
    </row>
    <row r="973" spans="12:12" s="20" customFormat="1">
      <c r="L973" s="54"/>
    </row>
    <row r="974" spans="12:12" s="20" customFormat="1">
      <c r="L974" s="54"/>
    </row>
    <row r="975" spans="12:12" s="20" customFormat="1">
      <c r="L975" s="54"/>
    </row>
    <row r="976" spans="12:12" s="20" customFormat="1">
      <c r="L976" s="54"/>
    </row>
    <row r="977" spans="12:12" s="20" customFormat="1">
      <c r="L977" s="54"/>
    </row>
    <row r="978" spans="12:12" s="20" customFormat="1">
      <c r="L978" s="54"/>
    </row>
    <row r="979" spans="12:12" s="20" customFormat="1">
      <c r="L979" s="54"/>
    </row>
    <row r="980" spans="12:12" s="20" customFormat="1">
      <c r="L980" s="54"/>
    </row>
    <row r="981" spans="12:12" s="20" customFormat="1">
      <c r="L981" s="54"/>
    </row>
    <row r="982" spans="12:12" s="20" customFormat="1">
      <c r="L982" s="54"/>
    </row>
    <row r="983" spans="12:12" s="20" customFormat="1">
      <c r="L983" s="54"/>
    </row>
    <row r="984" spans="12:12" s="20" customFormat="1">
      <c r="L984" s="54"/>
    </row>
    <row r="985" spans="12:12" s="20" customFormat="1">
      <c r="L985" s="54"/>
    </row>
    <row r="986" spans="12:12" s="20" customFormat="1">
      <c r="L986" s="54"/>
    </row>
    <row r="987" spans="12:12" s="20" customFormat="1">
      <c r="L987" s="54"/>
    </row>
    <row r="988" spans="12:12" s="20" customFormat="1">
      <c r="L988" s="54"/>
    </row>
    <row r="989" spans="12:12" s="20" customFormat="1">
      <c r="L989" s="54"/>
    </row>
    <row r="990" spans="12:12" s="20" customFormat="1">
      <c r="L990" s="54"/>
    </row>
    <row r="991" spans="12:12" s="20" customFormat="1">
      <c r="L991" s="54"/>
    </row>
    <row r="992" spans="12:12" s="20" customFormat="1">
      <c r="L992" s="54"/>
    </row>
    <row r="993" spans="12:12" s="20" customFormat="1">
      <c r="L993" s="54"/>
    </row>
    <row r="994" spans="12:12" s="20" customFormat="1">
      <c r="L994" s="54"/>
    </row>
    <row r="995" spans="12:12" s="20" customFormat="1">
      <c r="L995" s="54"/>
    </row>
    <row r="996" spans="12:12" s="20" customFormat="1">
      <c r="L996" s="54"/>
    </row>
    <row r="997" spans="12:12" s="20" customFormat="1">
      <c r="L997" s="54"/>
    </row>
    <row r="998" spans="12:12" s="20" customFormat="1">
      <c r="L998" s="54"/>
    </row>
    <row r="999" spans="12:12" s="20" customFormat="1">
      <c r="L999" s="54"/>
    </row>
    <row r="1000" spans="12:12" s="20" customFormat="1">
      <c r="L1000" s="54"/>
    </row>
    <row r="1001" spans="12:12" s="20" customFormat="1">
      <c r="L1001" s="54"/>
    </row>
    <row r="1002" spans="12:12" s="20" customFormat="1">
      <c r="L1002" s="54"/>
    </row>
    <row r="1003" spans="12:12" s="20" customFormat="1">
      <c r="L1003" s="54"/>
    </row>
    <row r="1004" spans="12:12" s="20" customFormat="1">
      <c r="L1004" s="54"/>
    </row>
    <row r="1005" spans="12:12" s="20" customFormat="1">
      <c r="L1005" s="54"/>
    </row>
    <row r="1006" spans="12:12" s="20" customFormat="1">
      <c r="L1006" s="54"/>
    </row>
    <row r="1007" spans="12:12" s="20" customFormat="1">
      <c r="L1007" s="54"/>
    </row>
    <row r="1008" spans="12:12" s="20" customFormat="1">
      <c r="L1008" s="54"/>
    </row>
    <row r="1009" spans="12:12" s="20" customFormat="1">
      <c r="L1009" s="54"/>
    </row>
    <row r="1010" spans="12:12" s="20" customFormat="1">
      <c r="L1010" s="54"/>
    </row>
    <row r="1011" spans="12:12" s="20" customFormat="1">
      <c r="L1011" s="54"/>
    </row>
    <row r="1012" spans="12:12" s="20" customFormat="1">
      <c r="L1012" s="54"/>
    </row>
    <row r="1013" spans="12:12" s="20" customFormat="1">
      <c r="L1013" s="54"/>
    </row>
    <row r="1014" spans="12:12" s="20" customFormat="1">
      <c r="L1014" s="54"/>
    </row>
    <row r="1015" spans="12:12" s="20" customFormat="1">
      <c r="L1015" s="54"/>
    </row>
    <row r="1016" spans="12:12" s="20" customFormat="1">
      <c r="L1016" s="54"/>
    </row>
    <row r="1017" spans="12:12" s="20" customFormat="1">
      <c r="L1017" s="54"/>
    </row>
    <row r="1018" spans="12:12" s="20" customFormat="1">
      <c r="L1018" s="54"/>
    </row>
    <row r="1019" spans="12:12" s="20" customFormat="1">
      <c r="L1019" s="54"/>
    </row>
    <row r="1020" spans="12:12" s="20" customFormat="1">
      <c r="L1020" s="54"/>
    </row>
    <row r="1021" spans="12:12" s="20" customFormat="1">
      <c r="L1021" s="54"/>
    </row>
    <row r="1022" spans="12:12" s="20" customFormat="1">
      <c r="L1022" s="54"/>
    </row>
    <row r="1023" spans="12:12" s="20" customFormat="1">
      <c r="L1023" s="54"/>
    </row>
    <row r="1024" spans="12:12" s="20" customFormat="1">
      <c r="L1024" s="54"/>
    </row>
    <row r="1025" spans="12:12" s="20" customFormat="1">
      <c r="L1025" s="54"/>
    </row>
    <row r="1026" spans="12:12" s="20" customFormat="1">
      <c r="L1026" s="54"/>
    </row>
    <row r="1027" spans="12:12" s="20" customFormat="1">
      <c r="L1027" s="54"/>
    </row>
    <row r="1028" spans="12:12" s="20" customFormat="1">
      <c r="L1028" s="54"/>
    </row>
    <row r="1029" spans="12:12" s="20" customFormat="1">
      <c r="L1029" s="54"/>
    </row>
    <row r="1030" spans="12:12" s="20" customFormat="1">
      <c r="L1030" s="54"/>
    </row>
    <row r="1031" spans="12:12" s="20" customFormat="1">
      <c r="L1031" s="54"/>
    </row>
    <row r="1032" spans="12:12" s="20" customFormat="1">
      <c r="L1032" s="54"/>
    </row>
    <row r="1033" spans="12:12" s="20" customFormat="1">
      <c r="L1033" s="54"/>
    </row>
    <row r="1034" spans="12:12" s="20" customFormat="1">
      <c r="L1034" s="54"/>
    </row>
    <row r="1035" spans="12:12" s="20" customFormat="1">
      <c r="L1035" s="54"/>
    </row>
    <row r="1036" spans="12:12" s="20" customFormat="1">
      <c r="L1036" s="54"/>
    </row>
    <row r="1037" spans="12:12" s="20" customFormat="1">
      <c r="L1037" s="54"/>
    </row>
    <row r="1038" spans="12:12" s="20" customFormat="1">
      <c r="L1038" s="54"/>
    </row>
    <row r="1039" spans="12:12" s="20" customFormat="1">
      <c r="L1039" s="54"/>
    </row>
    <row r="1040" spans="12:12" s="20" customFormat="1">
      <c r="L1040" s="54"/>
    </row>
    <row r="1041" spans="12:12" s="20" customFormat="1">
      <c r="L1041" s="54"/>
    </row>
    <row r="1042" spans="12:12" s="20" customFormat="1">
      <c r="L1042" s="54"/>
    </row>
    <row r="1043" spans="12:12" s="20" customFormat="1">
      <c r="L1043" s="54"/>
    </row>
    <row r="1044" spans="12:12" s="20" customFormat="1">
      <c r="L1044" s="54"/>
    </row>
    <row r="1045" spans="12:12" s="20" customFormat="1">
      <c r="L1045" s="54"/>
    </row>
    <row r="1046" spans="12:12" s="20" customFormat="1">
      <c r="L1046" s="54"/>
    </row>
    <row r="1047" spans="12:12" s="20" customFormat="1">
      <c r="L1047" s="54"/>
    </row>
    <row r="1048" spans="12:12" s="20" customFormat="1">
      <c r="L1048" s="54"/>
    </row>
    <row r="1049" spans="12:12" s="20" customFormat="1">
      <c r="L1049" s="54"/>
    </row>
    <row r="1050" spans="12:12" s="20" customFormat="1">
      <c r="L1050" s="54"/>
    </row>
    <row r="1051" spans="12:12" s="20" customFormat="1">
      <c r="L1051" s="54"/>
    </row>
    <row r="1052" spans="12:12" s="20" customFormat="1">
      <c r="L1052" s="54"/>
    </row>
    <row r="1053" spans="12:12" s="20" customFormat="1">
      <c r="L1053" s="54"/>
    </row>
    <row r="1054" spans="12:12" s="20" customFormat="1">
      <c r="L1054" s="54"/>
    </row>
    <row r="1055" spans="12:12" s="20" customFormat="1">
      <c r="L1055" s="54"/>
    </row>
    <row r="1056" spans="12:12" s="20" customFormat="1">
      <c r="L1056" s="54"/>
    </row>
    <row r="1057" spans="12:12" s="20" customFormat="1">
      <c r="L1057" s="54"/>
    </row>
    <row r="1058" spans="12:12" s="20" customFormat="1">
      <c r="L1058" s="54"/>
    </row>
    <row r="1059" spans="12:12" s="20" customFormat="1">
      <c r="L1059" s="54"/>
    </row>
    <row r="1060" spans="12:12" s="20" customFormat="1">
      <c r="L1060" s="54"/>
    </row>
    <row r="1061" spans="12:12" s="20" customFormat="1">
      <c r="L1061" s="54"/>
    </row>
    <row r="1062" spans="12:12" s="20" customFormat="1">
      <c r="L1062" s="54"/>
    </row>
    <row r="1063" spans="12:12" s="20" customFormat="1">
      <c r="L1063" s="54"/>
    </row>
    <row r="1064" spans="12:12" s="20" customFormat="1">
      <c r="L1064" s="54"/>
    </row>
    <row r="1065" spans="12:12" s="20" customFormat="1">
      <c r="L1065" s="54"/>
    </row>
    <row r="1066" spans="12:12" s="20" customFormat="1">
      <c r="L1066" s="54"/>
    </row>
    <row r="1067" spans="12:12" s="20" customFormat="1">
      <c r="L1067" s="54"/>
    </row>
    <row r="1068" spans="12:12" s="20" customFormat="1">
      <c r="L1068" s="54"/>
    </row>
    <row r="1069" spans="12:12" s="20" customFormat="1">
      <c r="L1069" s="54"/>
    </row>
    <row r="1070" spans="12:12" s="20" customFormat="1">
      <c r="L1070" s="54"/>
    </row>
    <row r="1071" spans="12:12" s="20" customFormat="1">
      <c r="L1071" s="54"/>
    </row>
    <row r="1072" spans="12:12" s="20" customFormat="1">
      <c r="L1072" s="54"/>
    </row>
    <row r="1073" spans="12:12" s="20" customFormat="1">
      <c r="L1073" s="54"/>
    </row>
    <row r="1074" spans="12:12" s="20" customFormat="1">
      <c r="L1074" s="54"/>
    </row>
    <row r="1075" spans="12:12" s="20" customFormat="1">
      <c r="L1075" s="54"/>
    </row>
    <row r="1076" spans="12:12" s="20" customFormat="1">
      <c r="L1076" s="54"/>
    </row>
    <row r="1077" spans="12:12" s="20" customFormat="1">
      <c r="L1077" s="54"/>
    </row>
    <row r="1078" spans="12:12" s="20" customFormat="1">
      <c r="L1078" s="54"/>
    </row>
    <row r="1079" spans="12:12" s="20" customFormat="1">
      <c r="L1079" s="54"/>
    </row>
    <row r="1080" spans="12:12" s="20" customFormat="1">
      <c r="L1080" s="54"/>
    </row>
    <row r="1081" spans="12:12" s="20" customFormat="1">
      <c r="L1081" s="54"/>
    </row>
    <row r="1082" spans="12:12" s="20" customFormat="1">
      <c r="L1082" s="54"/>
    </row>
    <row r="1083" spans="12:12" s="20" customFormat="1">
      <c r="L1083" s="54"/>
    </row>
    <row r="1084" spans="12:12" s="20" customFormat="1">
      <c r="L1084" s="54"/>
    </row>
    <row r="1085" spans="12:12" s="20" customFormat="1">
      <c r="L1085" s="54"/>
    </row>
    <row r="1086" spans="12:12" s="20" customFormat="1">
      <c r="L1086" s="54"/>
    </row>
    <row r="1087" spans="12:12" s="20" customFormat="1">
      <c r="L1087" s="54"/>
    </row>
    <row r="1088" spans="12:12" s="20" customFormat="1">
      <c r="L1088" s="54"/>
    </row>
    <row r="1089" spans="12:12" s="20" customFormat="1">
      <c r="L1089" s="54"/>
    </row>
    <row r="1090" spans="12:12" s="20" customFormat="1">
      <c r="L1090" s="54"/>
    </row>
    <row r="1091" spans="12:12" s="20" customFormat="1">
      <c r="L1091" s="54"/>
    </row>
    <row r="1092" spans="12:12" s="20" customFormat="1">
      <c r="L1092" s="54"/>
    </row>
    <row r="1093" spans="12:12" s="20" customFormat="1">
      <c r="L1093" s="54"/>
    </row>
    <row r="1094" spans="12:12" s="20" customFormat="1">
      <c r="L1094" s="54"/>
    </row>
    <row r="1095" spans="12:12" s="20" customFormat="1">
      <c r="L1095" s="54"/>
    </row>
    <row r="1096" spans="12:12" s="20" customFormat="1">
      <c r="L1096" s="54"/>
    </row>
    <row r="1097" spans="12:12" s="20" customFormat="1">
      <c r="L1097" s="54"/>
    </row>
    <row r="1098" spans="12:12" s="20" customFormat="1">
      <c r="L1098" s="54"/>
    </row>
    <row r="1099" spans="12:12" s="20" customFormat="1">
      <c r="L1099" s="54"/>
    </row>
    <row r="1100" spans="12:12" s="20" customFormat="1">
      <c r="L1100" s="54"/>
    </row>
    <row r="1101" spans="12:12" s="20" customFormat="1">
      <c r="L1101" s="54"/>
    </row>
    <row r="1102" spans="12:12" s="20" customFormat="1">
      <c r="L1102" s="54"/>
    </row>
    <row r="1103" spans="12:12" s="20" customFormat="1">
      <c r="L1103" s="54"/>
    </row>
    <row r="1104" spans="12:12" s="20" customFormat="1">
      <c r="L1104" s="54"/>
    </row>
    <row r="1105" spans="12:12" s="20" customFormat="1">
      <c r="L1105" s="54"/>
    </row>
    <row r="1106" spans="12:12" s="20" customFormat="1">
      <c r="L1106" s="54"/>
    </row>
    <row r="1107" spans="12:12" s="20" customFormat="1">
      <c r="L1107" s="54"/>
    </row>
    <row r="1108" spans="12:12" s="20" customFormat="1">
      <c r="L1108" s="54"/>
    </row>
    <row r="1109" spans="12:12" s="20" customFormat="1">
      <c r="L1109" s="54"/>
    </row>
    <row r="1110" spans="12:12" s="20" customFormat="1">
      <c r="L1110" s="54"/>
    </row>
    <row r="1111" spans="12:12" s="20" customFormat="1">
      <c r="L1111" s="54"/>
    </row>
    <row r="1112" spans="12:12" s="20" customFormat="1">
      <c r="L1112" s="54"/>
    </row>
    <row r="1113" spans="12:12" s="20" customFormat="1">
      <c r="L1113" s="54"/>
    </row>
    <row r="1114" spans="12:12" s="20" customFormat="1">
      <c r="L1114" s="54"/>
    </row>
    <row r="1115" spans="12:12" s="20" customFormat="1">
      <c r="L1115" s="54"/>
    </row>
    <row r="1116" spans="12:12" s="20" customFormat="1">
      <c r="L1116" s="54"/>
    </row>
    <row r="1117" spans="12:12" s="20" customFormat="1">
      <c r="L1117" s="54"/>
    </row>
    <row r="1118" spans="12:12" s="20" customFormat="1">
      <c r="L1118" s="54"/>
    </row>
    <row r="1119" spans="12:12" s="20" customFormat="1">
      <c r="L1119" s="54"/>
    </row>
    <row r="1120" spans="12:12" s="20" customFormat="1">
      <c r="L1120" s="54"/>
    </row>
    <row r="1121" spans="1:26" s="20" customFormat="1">
      <c r="L1121" s="54"/>
    </row>
    <row r="1122" spans="1:26" s="20" customFormat="1">
      <c r="L1122" s="54"/>
    </row>
    <row r="1123" spans="1:26" s="20" customFormat="1">
      <c r="L1123" s="54"/>
    </row>
    <row r="1124" spans="1:26" s="20" customFormat="1">
      <c r="L1124" s="54"/>
    </row>
    <row r="1125" spans="1:26" s="20" customFormat="1">
      <c r="D1125" s="4"/>
      <c r="I1125" s="4"/>
      <c r="L1125" s="54"/>
    </row>
    <row r="1126" spans="1:26" s="20" customFormat="1">
      <c r="D1126" s="5"/>
      <c r="E1126" s="4"/>
      <c r="F1126" s="4"/>
      <c r="G1126" s="4"/>
      <c r="H1126" s="4"/>
      <c r="I1126" s="5"/>
      <c r="L1126" s="54"/>
    </row>
    <row r="1127" spans="1:26" s="20" customFormat="1">
      <c r="D1127" s="5"/>
      <c r="E1127" s="5"/>
      <c r="F1127" s="5"/>
      <c r="G1127" s="5"/>
      <c r="H1127" s="5"/>
      <c r="I1127" s="5"/>
      <c r="J1127" s="4"/>
      <c r="K1127" s="4"/>
      <c r="L1127" s="54"/>
    </row>
    <row r="1128" spans="1:26" s="4" customFormat="1">
      <c r="A1128" s="22"/>
      <c r="B1128" s="30"/>
      <c r="D1128" s="5"/>
      <c r="E1128" s="5"/>
      <c r="F1128" s="5"/>
      <c r="G1128" s="5"/>
      <c r="H1128" s="5"/>
      <c r="I1128" s="5"/>
      <c r="J1128" s="5"/>
      <c r="K1128" s="5"/>
      <c r="L1128" s="55"/>
      <c r="M1128" s="20"/>
      <c r="R1128" s="29"/>
      <c r="S1128" s="31"/>
      <c r="T1128" s="30"/>
      <c r="Y1128" s="29"/>
      <c r="Z1128" s="20"/>
    </row>
  </sheetData>
  <autoFilter ref="T2:Y98" xr:uid="{95768BA4-CA8E-47CB-ADB9-6315A87590ED}">
    <sortState xmlns:xlrd2="http://schemas.microsoft.com/office/spreadsheetml/2017/richdata2" ref="T3:Y98">
      <sortCondition ref="X2:X98"/>
    </sortState>
  </autoFilter>
  <mergeCells count="91">
    <mergeCell ref="J99:K99"/>
    <mergeCell ref="J3:K3"/>
    <mergeCell ref="J4:K4"/>
    <mergeCell ref="J5:K5"/>
    <mergeCell ref="J6:K6"/>
    <mergeCell ref="J13:K13"/>
    <mergeCell ref="J14:K14"/>
    <mergeCell ref="J15:K15"/>
    <mergeCell ref="J16:K16"/>
    <mergeCell ref="J17:K17"/>
    <mergeCell ref="J18:K18"/>
    <mergeCell ref="J7:K7"/>
    <mergeCell ref="J8:K8"/>
    <mergeCell ref="J9:K9"/>
    <mergeCell ref="J10:K10"/>
    <mergeCell ref="J11:K11"/>
    <mergeCell ref="J12:K12"/>
    <mergeCell ref="J36:K36"/>
    <mergeCell ref="J37:K37"/>
    <mergeCell ref="J38:K38"/>
    <mergeCell ref="J39:K39"/>
    <mergeCell ref="J20:K20"/>
    <mergeCell ref="J21:K21"/>
    <mergeCell ref="J22:K22"/>
    <mergeCell ref="J23:K23"/>
    <mergeCell ref="J29:K29"/>
    <mergeCell ref="J30:K30"/>
    <mergeCell ref="J31:K31"/>
    <mergeCell ref="J32:K33"/>
    <mergeCell ref="J34:K34"/>
    <mergeCell ref="J35:K35"/>
    <mergeCell ref="J24:K24"/>
    <mergeCell ref="J55:K55"/>
    <mergeCell ref="J40:K43"/>
    <mergeCell ref="J44:K44"/>
    <mergeCell ref="J45:K45"/>
    <mergeCell ref="J46:K46"/>
    <mergeCell ref="J50:K50"/>
    <mergeCell ref="J51:K51"/>
    <mergeCell ref="J52:K52"/>
    <mergeCell ref="J53:K53"/>
    <mergeCell ref="J54:K54"/>
    <mergeCell ref="J25:K25"/>
    <mergeCell ref="J26:K26"/>
    <mergeCell ref="J27:K27"/>
    <mergeCell ref="J28:K28"/>
    <mergeCell ref="J47:K49"/>
    <mergeCell ref="J90:K90"/>
    <mergeCell ref="J58:K59"/>
    <mergeCell ref="J60:K61"/>
    <mergeCell ref="J62:K67"/>
    <mergeCell ref="J68:K68"/>
    <mergeCell ref="J69:K69"/>
    <mergeCell ref="J73:K73"/>
    <mergeCell ref="J56:K57"/>
    <mergeCell ref="J86:K86"/>
    <mergeCell ref="J87:K87"/>
    <mergeCell ref="J89:K89"/>
    <mergeCell ref="J85:K85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Q3:Q4"/>
    <mergeCell ref="P3:P4"/>
    <mergeCell ref="O3:O4"/>
    <mergeCell ref="R3:R8"/>
    <mergeCell ref="N3:N4"/>
    <mergeCell ref="J2:K2"/>
    <mergeCell ref="B97:B98"/>
    <mergeCell ref="B3:B18"/>
    <mergeCell ref="B19:B25"/>
    <mergeCell ref="B29:B49"/>
    <mergeCell ref="B54:B69"/>
    <mergeCell ref="B70:B73"/>
    <mergeCell ref="B74:B91"/>
    <mergeCell ref="B92:B96"/>
    <mergeCell ref="J97:K98"/>
    <mergeCell ref="J96:K96"/>
    <mergeCell ref="J92:K92"/>
    <mergeCell ref="J94:K94"/>
    <mergeCell ref="J95:K95"/>
    <mergeCell ref="J91:K91"/>
    <mergeCell ref="J70:K72"/>
  </mergeCells>
  <phoneticPr fontId="4" type="noConversion"/>
  <conditionalFormatting sqref="A2:B2 A1:XFD1 D2:J2 L2:S2 A3:XFD1048576 Z2:XFD2">
    <cfRule type="cellIs" dxfId="3" priority="8" operator="equal">
      <formula>"기간 만료"</formula>
    </cfRule>
  </conditionalFormatting>
  <conditionalFormatting sqref="A1:XFD1 A3:XFD1048576 A2:S2 Z2:XFD2">
    <cfRule type="cellIs" dxfId="2" priority="3" operator="equal">
      <formula>"미등록"</formula>
    </cfRule>
  </conditionalFormatting>
  <conditionalFormatting sqref="U2:Y2">
    <cfRule type="cellIs" dxfId="1" priority="2" operator="equal">
      <formula>"기간 만료"</formula>
    </cfRule>
  </conditionalFormatting>
  <conditionalFormatting sqref="T2:Y2">
    <cfRule type="cellIs" dxfId="0" priority="1" operator="equal">
      <formula>"미등록"</formula>
    </cfRule>
  </conditionalFormatting>
  <hyperlinks>
    <hyperlink ref="J52" r:id="rId1" xr:uid="{16EB5169-7776-4F9D-BB81-C3B3DE659A45}"/>
    <hyperlink ref="J46" r:id="rId2" xr:uid="{BF49D64E-AABE-4B97-B079-CE1EC9143900}"/>
    <hyperlink ref="J83" r:id="rId3" xr:uid="{71A47BC8-9A7E-4C3C-BE3A-0BD086C28E38}"/>
    <hyperlink ref="J15" r:id="rId4" xr:uid="{26C1065F-A37B-4F74-9C09-4739469A7246}"/>
    <hyperlink ref="J28" r:id="rId5" xr:uid="{B889F54D-0D05-43BB-A88E-78825BE97FAB}"/>
    <hyperlink ref="J70" r:id="rId6" xr:uid="{1C35C796-A827-465C-81A9-F70209A3744D}"/>
    <hyperlink ref="J82" r:id="rId7" xr:uid="{04D31808-96D0-4465-8D93-8E9825CB0FFC}"/>
    <hyperlink ref="J45" r:id="rId8" xr:uid="{D22B7EAD-656F-4E2B-AB7C-C4D59295AE1E}"/>
    <hyperlink ref="J25" r:id="rId9" xr:uid="{EAC09697-6533-4C70-B8E6-314F1E6610C2}"/>
    <hyperlink ref="J60" r:id="rId10" xr:uid="{EAF5923B-B25F-4119-9CCC-A3563CF4270C}"/>
    <hyperlink ref="J96" r:id="rId11" xr:uid="{35CE64D0-AA17-41D1-B502-B11A28E1F156}"/>
    <hyperlink ref="J73" r:id="rId12" xr:uid="{6308BD73-D0EE-421F-86EB-C5AA06A73A0F}"/>
    <hyperlink ref="J62" r:id="rId13" xr:uid="{F092EA28-27CA-4243-AECA-1F2747D33DC2}"/>
    <hyperlink ref="J68" r:id="rId14" xr:uid="{7FB550FE-357B-41D6-A094-754124E1673E}"/>
    <hyperlink ref="J58" r:id="rId15" xr:uid="{194FD772-66F4-49F2-A3DF-18ECD15FA686}"/>
    <hyperlink ref="J55" r:id="rId16" xr:uid="{52943FCF-87C0-4379-9C90-601F0DFC3730}"/>
    <hyperlink ref="J24" r:id="rId17" xr:uid="{E89794AA-829C-4423-BD1C-87939C12B665}"/>
    <hyperlink ref="J79" r:id="rId18" xr:uid="{8797DA17-284B-461C-8BD4-180696D8711A}"/>
    <hyperlink ref="J80" r:id="rId19" xr:uid="{263E5EB9-9CA8-4BD3-B717-736108BCF304}"/>
    <hyperlink ref="J23" r:id="rId20" xr:uid="{F37A6340-6A46-4757-BC8B-95853E6954E2}"/>
    <hyperlink ref="J74" r:id="rId21" xr:uid="{F279F177-2D09-4974-94A6-582C53F1CEF7}"/>
    <hyperlink ref="J78" r:id="rId22" xr:uid="{23060725-8983-46D4-B870-300469771028}"/>
    <hyperlink ref="J21" r:id="rId23" xr:uid="{B6FF9439-E3F0-411C-B473-E8F2A1CC62BB}"/>
    <hyperlink ref="J20" r:id="rId24" xr:uid="{EA933A67-B1F7-4AD0-B91E-ACC582A5CE9D}"/>
    <hyperlink ref="K19" r:id="rId25" xr:uid="{B370466D-C3AF-44E5-8905-1CA642E8ED00}"/>
    <hyperlink ref="J19" r:id="rId26" xr:uid="{3F42424D-2862-40DD-9265-97FE2014011B}"/>
    <hyperlink ref="J3" r:id="rId27" xr:uid="{F5DFE91A-9F09-4EE5-B065-6EB6C380A95C}"/>
    <hyperlink ref="J69" r:id="rId28" xr:uid="{FBE5FAB2-B6EA-433D-B668-31B484A54EAF}"/>
    <hyperlink ref="J84" r:id="rId29" xr:uid="{135480B0-EF66-4EC9-BFE3-9807B2C1EDD6}"/>
    <hyperlink ref="J89" r:id="rId30" xr:uid="{F9BC12C5-90B7-4BF3-A5A9-E6C12DA1BF4A}"/>
    <hyperlink ref="J91" r:id="rId31" xr:uid="{E1C33D0A-05DF-44A9-9CD7-8986B038BD2C}"/>
    <hyperlink ref="J47" r:id="rId32" xr:uid="{92E587CB-333D-481F-A418-007DC1390567}"/>
    <hyperlink ref="J87" r:id="rId33" xr:uid="{0C00F006-2E80-44ED-9D31-9A4388C95022}"/>
    <hyperlink ref="J85" r:id="rId34" xr:uid="{A4B4367D-C21D-4086-8876-89CAB962C199}"/>
    <hyperlink ref="J92" r:id="rId35" xr:uid="{D6677A0F-DB9B-4927-AEA5-FBDAB415AF4C}"/>
    <hyperlink ref="J26" r:id="rId36" xr:uid="{ACE38BB4-96D2-4A45-A792-809EEDE6E171}"/>
    <hyperlink ref="J12" r:id="rId37" xr:uid="{1A35687B-0F92-4F90-AEC6-93C6B50EC65F}"/>
    <hyperlink ref="J4" r:id="rId38" xr:uid="{9F64BD8D-E7F6-4C2A-8988-41F9651BE2D6}"/>
    <hyperlink ref="J11" r:id="rId39" xr:uid="{CFCAC933-0604-44F8-A85B-D9407FFD7C61}"/>
    <hyperlink ref="J13" r:id="rId40" xr:uid="{1A9FC20A-24A3-4D10-9EE9-4257D860B374}"/>
    <hyperlink ref="J14" r:id="rId41" xr:uid="{79934CCC-83B2-4E9B-A29F-579674E58892}"/>
    <hyperlink ref="J36" r:id="rId42" xr:uid="{A64E23BF-BCDA-48E3-8236-EF1D35DC5BCD}"/>
    <hyperlink ref="J54" r:id="rId43" xr:uid="{92115BF3-36EC-4238-A8D9-951C72927C6B}"/>
    <hyperlink ref="J5" r:id="rId44" xr:uid="{14D7BC81-164D-40A2-8E6E-95DD532264C4}"/>
    <hyperlink ref="J10" r:id="rId45" xr:uid="{D73C322E-229A-4003-9B08-F057A69C4D7E}"/>
    <hyperlink ref="J16" r:id="rId46" xr:uid="{64DED403-9C45-4913-88FC-A3DB0B7BA72F}"/>
    <hyperlink ref="J31" r:id="rId47" xr:uid="{1F0537C3-B7FB-4018-BDA4-414580FC09F2}"/>
    <hyperlink ref="J34" r:id="rId48" xr:uid="{54BF6DB6-5307-42D5-B794-4CDC2A4D274B}"/>
    <hyperlink ref="J35" r:id="rId49" xr:uid="{F6E12FC8-DF72-4114-920C-72F23CE543CB}"/>
    <hyperlink ref="J38" r:id="rId50" xr:uid="{780A6A30-D6E1-485E-B909-E4E18B41E8DA}"/>
    <hyperlink ref="J51" r:id="rId51" xr:uid="{296F32F2-F72E-4EAE-A420-FDEABB937DFC}"/>
    <hyperlink ref="J56" r:id="rId52" xr:uid="{E29C231A-4CFD-416F-9008-C16E5D659F74}"/>
    <hyperlink ref="J8" r:id="rId53" xr:uid="{1F28649A-F226-4904-BD3F-E9D7D77197E0}"/>
    <hyperlink ref="J6" r:id="rId54" xr:uid="{DB320215-F58F-4166-A50E-547D6320CD05}"/>
    <hyperlink ref="J86" r:id="rId55" xr:uid="{61377BB9-F20D-4453-8E0E-5523F42E1281}"/>
    <hyperlink ref="J44" r:id="rId56" xr:uid="{6C44FA73-C1E2-48F1-A5D4-3BE93F6A03AE}"/>
    <hyperlink ref="K88" r:id="rId57" xr:uid="{3335B687-1921-4355-A9EB-6D7B29DD6F3F}"/>
    <hyperlink ref="J39" r:id="rId58" xr:uid="{55F91B2F-8536-4D38-BF09-69E7EAAC950A}"/>
    <hyperlink ref="J37" r:id="rId59" xr:uid="{608E5A8C-B400-46AF-B0D6-D5FFB78A95C9}"/>
    <hyperlink ref="J32" r:id="rId60" xr:uid="{2BC2BD91-D350-4543-A384-44B19E9304DC}"/>
    <hyperlink ref="J81" r:id="rId61" xr:uid="{34825E70-4990-4222-883A-53CB16E8C6E2}"/>
    <hyperlink ref="J75" r:id="rId62" xr:uid="{2FA2BBDF-2DA4-4432-9287-5A5E3B015994}"/>
    <hyperlink ref="J40" r:id="rId63" xr:uid="{73645E31-76F0-43D6-9ED0-C6A9F05DF062}"/>
    <hyperlink ref="J22" r:id="rId64" display="http://www.me.go.kr/gg/web/board/list.do?menuId=2284&amp;boardMasterId=235&amp;boardCategoryId=&amp;maxIndexPages=10&amp;condition.hideCate=&amp;condition.createId=&amp;decorator=&amp;condition.proxyParam1=&amp;condition.proxyParam2=&amp;condition.proxyParam3=&amp;proxyListPath=&amp;proxyReadPath=&amp;searchKey=title&amp;searchValue=&amp;condition.fromDate=&amp;picker_year=2024&amp;picker_month=7&amp;condition.toDate=&amp;picker_year=2024&amp;picker_month=7" xr:uid="{088C7635-42D1-4ECA-931A-9E9AE89E55CE}"/>
    <hyperlink ref="J18" r:id="rId65" xr:uid="{573A3BA3-D1E1-49D3-9E7D-D779E4824B1B}"/>
    <hyperlink ref="J9" r:id="rId66" xr:uid="{C26EDE6D-4D4C-407E-A1F1-CF02FEB5756B}"/>
    <hyperlink ref="J93" r:id="rId67" xr:uid="{D8F8E10E-F53C-41BF-AB65-D821485C30E7}"/>
    <hyperlink ref="K93" r:id="rId68" xr:uid="{F6B03BC2-0D9B-43A8-B506-AECDB16B70E8}"/>
    <hyperlink ref="J7" r:id="rId69" xr:uid="{9376C6B2-BE1C-4E0D-B4A8-FB6A45C706FA}"/>
    <hyperlink ref="J17" r:id="rId70" xr:uid="{032D2A04-98D3-471D-8837-3755F638A30D}"/>
    <hyperlink ref="J27" r:id="rId71" xr:uid="{744710C5-6A54-4065-8707-772C8AFFA174}"/>
    <hyperlink ref="J88" r:id="rId72" xr:uid="{05220E30-8FCF-4957-BFB8-D3C4BE615622}"/>
    <hyperlink ref="J94" r:id="rId73" xr:uid="{DF5502A5-6304-4663-A0F1-278698322867}"/>
    <hyperlink ref="J77" r:id="rId74" xr:uid="{7062C04B-6284-41AE-89D1-7562E56F8709}"/>
    <hyperlink ref="J95" r:id="rId75" xr:uid="{24BB5FA1-70B4-4CF4-A7AA-8C70198D0CE4}"/>
    <hyperlink ref="J76" r:id="rId76" xr:uid="{7E2B4926-0F8A-45CB-A1CB-251587AA2E12}"/>
    <hyperlink ref="J29" r:id="rId77" xr:uid="{18ECB449-ABD5-4766-A5A9-44CDE00FA0EE}"/>
    <hyperlink ref="J50" r:id="rId78" xr:uid="{C494317E-DB91-4865-8069-4CE2E326D2CA}"/>
    <hyperlink ref="J97" r:id="rId79" xr:uid="{14BDFAC7-08E5-4F23-BCC2-F081B4D1B51B}"/>
    <hyperlink ref="J30" r:id="rId80" xr:uid="{1D397725-A82A-46AB-8F4B-D6B1A36913E8}"/>
    <hyperlink ref="J90" r:id="rId81" xr:uid="{17B30C73-11D9-4C13-91B1-E1C1B69A7F6A}"/>
    <hyperlink ref="J53" r:id="rId82" xr:uid="{75FFA41C-C71D-4B44-8751-7A4DAE3BA144}"/>
  </hyperlinks>
  <pageMargins left="0.7" right="0.7" top="0.75" bottom="0.75" header="0.3" footer="0.3"/>
  <drawing r:id="rId83"/>
  <legacyDrawing r:id="rId8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0089-F43D-492F-8F4A-78534CB5FC77}">
  <dimension ref="C1:N104"/>
  <sheetViews>
    <sheetView topLeftCell="A19" workbookViewId="0">
      <selection activeCell="C6" sqref="C6:C45"/>
    </sheetView>
  </sheetViews>
  <sheetFormatPr defaultRowHeight="16.5"/>
  <cols>
    <col min="3" max="3" width="54.625" bestFit="1" customWidth="1"/>
    <col min="14" max="14" width="77.75" style="39" customWidth="1"/>
  </cols>
  <sheetData>
    <row r="1" spans="3:14">
      <c r="N1" s="33" t="s">
        <v>117</v>
      </c>
    </row>
    <row r="2" spans="3:14">
      <c r="N2" s="34" t="s">
        <v>222</v>
      </c>
    </row>
    <row r="3" spans="3:14">
      <c r="N3" s="34" t="s">
        <v>223</v>
      </c>
    </row>
    <row r="4" spans="3:14">
      <c r="N4" s="34" t="s">
        <v>224</v>
      </c>
    </row>
    <row r="5" spans="3:14">
      <c r="N5" s="34" t="s">
        <v>225</v>
      </c>
    </row>
    <row r="6" spans="3:14">
      <c r="C6" t="s">
        <v>313</v>
      </c>
      <c r="N6" s="35" t="s">
        <v>226</v>
      </c>
    </row>
    <row r="7" spans="3:14">
      <c r="C7" t="s">
        <v>314</v>
      </c>
      <c r="N7" s="35" t="s">
        <v>227</v>
      </c>
    </row>
    <row r="8" spans="3:14">
      <c r="C8" t="s">
        <v>315</v>
      </c>
      <c r="N8" s="35" t="s">
        <v>228</v>
      </c>
    </row>
    <row r="9" spans="3:14">
      <c r="C9" t="s">
        <v>316</v>
      </c>
      <c r="N9" s="35" t="s">
        <v>229</v>
      </c>
    </row>
    <row r="10" spans="3:14">
      <c r="C10" t="s">
        <v>317</v>
      </c>
      <c r="N10" s="35" t="s">
        <v>230</v>
      </c>
    </row>
    <row r="11" spans="3:14">
      <c r="C11" t="s">
        <v>318</v>
      </c>
      <c r="N11" s="35" t="s">
        <v>231</v>
      </c>
    </row>
    <row r="12" spans="3:14">
      <c r="C12" t="s">
        <v>319</v>
      </c>
      <c r="N12" s="35" t="s">
        <v>232</v>
      </c>
    </row>
    <row r="13" spans="3:14">
      <c r="C13" t="s">
        <v>320</v>
      </c>
      <c r="N13" s="35" t="s">
        <v>233</v>
      </c>
    </row>
    <row r="14" spans="3:14">
      <c r="C14" t="s">
        <v>321</v>
      </c>
      <c r="N14" s="35" t="s">
        <v>234</v>
      </c>
    </row>
    <row r="15" spans="3:14">
      <c r="C15" t="s">
        <v>322</v>
      </c>
      <c r="N15" s="35" t="s">
        <v>235</v>
      </c>
    </row>
    <row r="16" spans="3:14">
      <c r="C16" t="s">
        <v>323</v>
      </c>
      <c r="N16" s="35" t="s">
        <v>236</v>
      </c>
    </row>
    <row r="17" spans="3:14">
      <c r="C17" t="s">
        <v>324</v>
      </c>
      <c r="N17" s="35" t="s">
        <v>237</v>
      </c>
    </row>
    <row r="18" spans="3:14">
      <c r="C18" t="s">
        <v>325</v>
      </c>
      <c r="N18" s="36" t="s">
        <v>238</v>
      </c>
    </row>
    <row r="19" spans="3:14">
      <c r="C19" t="s">
        <v>326</v>
      </c>
      <c r="N19" s="35" t="s">
        <v>239</v>
      </c>
    </row>
    <row r="20" spans="3:14">
      <c r="C20" t="s">
        <v>327</v>
      </c>
      <c r="N20" s="35" t="s">
        <v>240</v>
      </c>
    </row>
    <row r="21" spans="3:14">
      <c r="C21" t="s">
        <v>328</v>
      </c>
      <c r="N21" s="35" t="s">
        <v>241</v>
      </c>
    </row>
    <row r="22" spans="3:14">
      <c r="C22" t="s">
        <v>329</v>
      </c>
      <c r="N22" s="35" t="s">
        <v>242</v>
      </c>
    </row>
    <row r="23" spans="3:14">
      <c r="C23" t="s">
        <v>330</v>
      </c>
      <c r="N23" s="35" t="s">
        <v>243</v>
      </c>
    </row>
    <row r="24" spans="3:14">
      <c r="C24" t="s">
        <v>331</v>
      </c>
      <c r="N24" s="35" t="s">
        <v>244</v>
      </c>
    </row>
    <row r="25" spans="3:14">
      <c r="C25" t="s">
        <v>332</v>
      </c>
      <c r="N25" s="34" t="s">
        <v>245</v>
      </c>
    </row>
    <row r="26" spans="3:14" ht="82.5">
      <c r="C26" t="s">
        <v>333</v>
      </c>
      <c r="N26" s="35" t="s">
        <v>246</v>
      </c>
    </row>
    <row r="27" spans="3:14">
      <c r="C27" t="s">
        <v>334</v>
      </c>
      <c r="N27" s="35" t="s">
        <v>247</v>
      </c>
    </row>
    <row r="28" spans="3:14">
      <c r="C28" t="s">
        <v>335</v>
      </c>
      <c r="N28" s="37" t="s">
        <v>248</v>
      </c>
    </row>
    <row r="29" spans="3:14">
      <c r="C29" t="s">
        <v>336</v>
      </c>
      <c r="N29" s="34" t="s">
        <v>249</v>
      </c>
    </row>
    <row r="30" spans="3:14">
      <c r="C30" t="s">
        <v>337</v>
      </c>
      <c r="N30" s="35" t="s">
        <v>250</v>
      </c>
    </row>
    <row r="31" spans="3:14" ht="49.5">
      <c r="C31" t="s">
        <v>338</v>
      </c>
      <c r="N31" s="34" t="s">
        <v>251</v>
      </c>
    </row>
    <row r="32" spans="3:14">
      <c r="C32" t="s">
        <v>339</v>
      </c>
      <c r="N32" s="35" t="s">
        <v>252</v>
      </c>
    </row>
    <row r="33" spans="3:14">
      <c r="C33" t="s">
        <v>340</v>
      </c>
      <c r="N33" s="35" t="s">
        <v>253</v>
      </c>
    </row>
    <row r="34" spans="3:14">
      <c r="C34" t="s">
        <v>341</v>
      </c>
      <c r="N34" s="35" t="s">
        <v>254</v>
      </c>
    </row>
    <row r="35" spans="3:14">
      <c r="C35" t="s">
        <v>342</v>
      </c>
      <c r="N35" s="35" t="s">
        <v>255</v>
      </c>
    </row>
    <row r="36" spans="3:14">
      <c r="C36" t="s">
        <v>343</v>
      </c>
      <c r="N36" s="118" t="s">
        <v>256</v>
      </c>
    </row>
    <row r="37" spans="3:14">
      <c r="C37" t="s">
        <v>344</v>
      </c>
      <c r="N37" s="120"/>
    </row>
    <row r="38" spans="3:14">
      <c r="C38" t="s">
        <v>345</v>
      </c>
      <c r="N38" s="35" t="s">
        <v>257</v>
      </c>
    </row>
    <row r="39" spans="3:14">
      <c r="C39" t="s">
        <v>346</v>
      </c>
      <c r="N39" s="35" t="s">
        <v>258</v>
      </c>
    </row>
    <row r="40" spans="3:14">
      <c r="C40" t="s">
        <v>347</v>
      </c>
      <c r="N40" s="35" t="s">
        <v>259</v>
      </c>
    </row>
    <row r="41" spans="3:14">
      <c r="C41" t="s">
        <v>348</v>
      </c>
      <c r="N41" s="35" t="s">
        <v>260</v>
      </c>
    </row>
    <row r="42" spans="3:14">
      <c r="C42" t="s">
        <v>349</v>
      </c>
      <c r="N42" s="35" t="s">
        <v>261</v>
      </c>
    </row>
    <row r="43" spans="3:14">
      <c r="C43" t="s">
        <v>350</v>
      </c>
      <c r="N43" s="35" t="s">
        <v>262</v>
      </c>
    </row>
    <row r="44" spans="3:14">
      <c r="C44" t="s">
        <v>351</v>
      </c>
      <c r="N44" s="118" t="s">
        <v>263</v>
      </c>
    </row>
    <row r="45" spans="3:14">
      <c r="C45" t="s">
        <v>352</v>
      </c>
      <c r="N45" s="119"/>
    </row>
    <row r="46" spans="3:14">
      <c r="N46" s="119"/>
    </row>
    <row r="47" spans="3:14">
      <c r="N47" s="120"/>
    </row>
    <row r="48" spans="3:14">
      <c r="N48" s="34" t="s">
        <v>264</v>
      </c>
    </row>
    <row r="49" spans="3:14">
      <c r="N49" s="38" t="s">
        <v>265</v>
      </c>
    </row>
    <row r="50" spans="3:14">
      <c r="N50" s="35" t="s">
        <v>266</v>
      </c>
    </row>
    <row r="51" spans="3:14">
      <c r="C51" t="s">
        <v>353</v>
      </c>
      <c r="N51" s="118" t="s">
        <v>267</v>
      </c>
    </row>
    <row r="52" spans="3:14">
      <c r="N52" s="119"/>
    </row>
    <row r="53" spans="3:14">
      <c r="N53" s="120"/>
    </row>
    <row r="54" spans="3:14" ht="33">
      <c r="N54" s="35" t="s">
        <v>268</v>
      </c>
    </row>
    <row r="55" spans="3:14">
      <c r="N55" s="35" t="s">
        <v>269</v>
      </c>
    </row>
    <row r="56" spans="3:14">
      <c r="N56" s="37" t="s">
        <v>270</v>
      </c>
    </row>
    <row r="57" spans="3:14" ht="49.5">
      <c r="N57" s="35" t="s">
        <v>271</v>
      </c>
    </row>
    <row r="58" spans="3:14">
      <c r="N58" s="34" t="s">
        <v>272</v>
      </c>
    </row>
    <row r="59" spans="3:14">
      <c r="N59" s="35" t="s">
        <v>273</v>
      </c>
    </row>
    <row r="60" spans="3:14">
      <c r="N60" s="118" t="s">
        <v>274</v>
      </c>
    </row>
    <row r="61" spans="3:14">
      <c r="N61" s="120"/>
    </row>
    <row r="62" spans="3:14">
      <c r="N62" s="118" t="s">
        <v>275</v>
      </c>
    </row>
    <row r="63" spans="3:14">
      <c r="N63" s="120"/>
    </row>
    <row r="64" spans="3:14">
      <c r="N64" s="118" t="s">
        <v>276</v>
      </c>
    </row>
    <row r="65" spans="14:14">
      <c r="N65" s="120"/>
    </row>
    <row r="66" spans="14:14">
      <c r="N66" s="115" t="s">
        <v>277</v>
      </c>
    </row>
    <row r="67" spans="14:14">
      <c r="N67" s="116"/>
    </row>
    <row r="68" spans="14:14">
      <c r="N68" s="116"/>
    </row>
    <row r="69" spans="14:14">
      <c r="N69" s="116"/>
    </row>
    <row r="70" spans="14:14">
      <c r="N70" s="116"/>
    </row>
    <row r="71" spans="14:14">
      <c r="N71" s="117"/>
    </row>
    <row r="72" spans="14:14">
      <c r="N72" s="35" t="s">
        <v>278</v>
      </c>
    </row>
    <row r="73" spans="14:14">
      <c r="N73" s="38" t="s">
        <v>279</v>
      </c>
    </row>
    <row r="74" spans="14:14">
      <c r="N74" s="118" t="s">
        <v>280</v>
      </c>
    </row>
    <row r="75" spans="14:14">
      <c r="N75" s="119"/>
    </row>
    <row r="76" spans="14:14">
      <c r="N76" s="120"/>
    </row>
    <row r="77" spans="14:14">
      <c r="N77" s="35" t="s">
        <v>281</v>
      </c>
    </row>
    <row r="78" spans="14:14">
      <c r="N78" s="35" t="s">
        <v>282</v>
      </c>
    </row>
    <row r="79" spans="14:14">
      <c r="N79" s="35" t="s">
        <v>283</v>
      </c>
    </row>
    <row r="80" spans="14:14">
      <c r="N80" s="35" t="s">
        <v>284</v>
      </c>
    </row>
    <row r="81" spans="14:14">
      <c r="N81" s="35" t="s">
        <v>285</v>
      </c>
    </row>
    <row r="82" spans="14:14">
      <c r="N82" s="35" t="s">
        <v>286</v>
      </c>
    </row>
    <row r="83" spans="14:14">
      <c r="N83" s="35" t="s">
        <v>287</v>
      </c>
    </row>
    <row r="84" spans="14:14">
      <c r="N84" s="35" t="s">
        <v>288</v>
      </c>
    </row>
    <row r="85" spans="14:14">
      <c r="N85" s="34" t="s">
        <v>289</v>
      </c>
    </row>
    <row r="86" spans="14:14">
      <c r="N86" s="34" t="s">
        <v>290</v>
      </c>
    </row>
    <row r="87" spans="14:14">
      <c r="N87" s="35" t="s">
        <v>291</v>
      </c>
    </row>
    <row r="88" spans="14:14">
      <c r="N88" s="34" t="s">
        <v>292</v>
      </c>
    </row>
    <row r="89" spans="14:14">
      <c r="N89" s="35" t="s">
        <v>293</v>
      </c>
    </row>
    <row r="90" spans="14:14">
      <c r="N90" s="35" t="s">
        <v>294</v>
      </c>
    </row>
    <row r="91" spans="14:14">
      <c r="N91" s="35" t="s">
        <v>295</v>
      </c>
    </row>
    <row r="92" spans="14:14">
      <c r="N92" s="35" t="s">
        <v>296</v>
      </c>
    </row>
    <row r="93" spans="14:14">
      <c r="N93" s="35" t="s">
        <v>297</v>
      </c>
    </row>
    <row r="94" spans="14:14">
      <c r="N94" s="35" t="s">
        <v>298</v>
      </c>
    </row>
    <row r="95" spans="14:14">
      <c r="N95" s="35" t="s">
        <v>299</v>
      </c>
    </row>
    <row r="96" spans="14:14">
      <c r="N96" s="37" t="s">
        <v>300</v>
      </c>
    </row>
    <row r="97" spans="14:14">
      <c r="N97" s="35" t="s">
        <v>301</v>
      </c>
    </row>
    <row r="98" spans="14:14">
      <c r="N98" s="35" t="s">
        <v>302</v>
      </c>
    </row>
    <row r="99" spans="14:14">
      <c r="N99" s="35" t="s">
        <v>303</v>
      </c>
    </row>
    <row r="100" spans="14:14">
      <c r="N100" s="35" t="s">
        <v>304</v>
      </c>
    </row>
    <row r="101" spans="14:14">
      <c r="N101" s="35" t="s">
        <v>305</v>
      </c>
    </row>
    <row r="102" spans="14:14" ht="33">
      <c r="N102" s="35" t="s">
        <v>306</v>
      </c>
    </row>
    <row r="103" spans="14:14">
      <c r="N103" s="110" t="s">
        <v>307</v>
      </c>
    </row>
    <row r="104" spans="14:14">
      <c r="N104" s="110"/>
    </row>
  </sheetData>
  <mergeCells count="9">
    <mergeCell ref="N66:N71"/>
    <mergeCell ref="N74:N76"/>
    <mergeCell ref="N103:N104"/>
    <mergeCell ref="N36:N37"/>
    <mergeCell ref="N44:N47"/>
    <mergeCell ref="N51:N53"/>
    <mergeCell ref="N60:N61"/>
    <mergeCell ref="N62:N63"/>
    <mergeCell ref="N64:N65"/>
  </mergeCells>
  <phoneticPr fontId="4" type="noConversion"/>
  <hyperlinks>
    <hyperlink ref="N56" r:id="rId1" xr:uid="{01155ED3-40D4-4969-BDC3-8B06497662B2}"/>
    <hyperlink ref="N50" r:id="rId2" xr:uid="{96F6C7B4-6176-4E97-B691-7F20C9D438B8}"/>
    <hyperlink ref="N87" r:id="rId3" xr:uid="{9049C91F-05C7-485C-8F2A-D9813B1A7EA5}"/>
    <hyperlink ref="N18" r:id="rId4" xr:uid="{92D5F446-1344-4DDF-8ED3-A9FB5DE4306E}"/>
    <hyperlink ref="N2" r:id="rId5" xr:uid="{8013842D-CC53-41A7-858D-48A3374B1A2E}"/>
    <hyperlink ref="N32" r:id="rId6" xr:uid="{EC51FCC8-94C4-4DCE-9DBD-4A22B7493CE9}"/>
    <hyperlink ref="N74" r:id="rId7" xr:uid="{F084AAB6-341F-4CDA-9FB7-D20E7DA414C4}"/>
    <hyperlink ref="N86" r:id="rId8" xr:uid="{50E496B2-8E88-460C-8998-377C7351F555}"/>
    <hyperlink ref="N49" r:id="rId9" xr:uid="{5D7359CE-8568-4D14-BD94-458B6775AD45}"/>
    <hyperlink ref="N29" r:id="rId10" xr:uid="{7EC02CB0-44D2-41A0-83CD-60EC36F50877}"/>
    <hyperlink ref="N64" r:id="rId11" xr:uid="{F5BE6F1C-D759-4CCB-B8BB-9DA4E0EB6001}"/>
    <hyperlink ref="N102" r:id="rId12" xr:uid="{508ECAE4-F0BC-4D4C-BEF4-FBFEB16B2627}"/>
    <hyperlink ref="N77" r:id="rId13" xr:uid="{549DE877-2BAF-43F0-A9D6-4E68CCDF31F4}"/>
    <hyperlink ref="N66" r:id="rId14" xr:uid="{8ED6FB5A-1C13-460A-ABDC-B8EB1FDE2801}"/>
    <hyperlink ref="N72" r:id="rId15" xr:uid="{1398CD43-7CF2-4A3A-A41C-EA2FD6360E5E}"/>
    <hyperlink ref="N62" r:id="rId16" xr:uid="{21A021C6-1C80-4331-8457-DFB956832E05}"/>
    <hyperlink ref="N59" r:id="rId17" xr:uid="{F982179C-A86F-4692-AC91-25EB624D6970}"/>
    <hyperlink ref="N57" r:id="rId18" xr:uid="{01F74B97-AC29-4277-8466-C3EA42AFEF86}"/>
    <hyperlink ref="N28" r:id="rId19" xr:uid="{813ADD93-D32D-4AB4-87EE-0F889B130D76}"/>
    <hyperlink ref="N83" r:id="rId20" xr:uid="{4D9A7D00-077D-41F3-B16D-09AE2EA7F028}"/>
    <hyperlink ref="N84" r:id="rId21" xr:uid="{9AAC9FA6-0BF7-4BF2-A3D7-68399D2A4838}"/>
    <hyperlink ref="N27" r:id="rId22" xr:uid="{DC45F9DE-9C8E-422A-8EA6-E9A4CE67EAD2}"/>
    <hyperlink ref="N78" r:id="rId23" xr:uid="{A3C82A77-0799-4743-8BE6-AD3DAD9AE7DD}"/>
    <hyperlink ref="N82" r:id="rId24" xr:uid="{8C6C4FF0-055B-4A88-BE9D-F21EFD3DB4B9}"/>
    <hyperlink ref="N25" r:id="rId25" xr:uid="{F98D47CE-CFFC-4830-89EA-ADBAE231A019}"/>
    <hyperlink ref="N24" r:id="rId26" xr:uid="{4950CEF3-2E67-43D5-9D5A-579B56A42C97}"/>
    <hyperlink ref="N22" r:id="rId27" xr:uid="{F481F0EB-A458-4B2A-BE90-A97482746D41}"/>
    <hyperlink ref="N23" r:id="rId28" xr:uid="{D6370A84-C1B4-48E3-82E0-61A84C576111}"/>
    <hyperlink ref="N6" r:id="rId29" xr:uid="{9400C88B-D8D4-468C-87A1-5899A66C5DDD}"/>
    <hyperlink ref="N73" r:id="rId30" xr:uid="{94E0362B-2633-4519-822F-4A3C633EE7A3}"/>
    <hyperlink ref="N88" r:id="rId31" xr:uid="{5034ADE2-002F-4CEC-930E-7E642D823C69}"/>
    <hyperlink ref="N94" r:id="rId32" xr:uid="{AB301D63-5CA9-4D7C-B380-B93EBBB7C625}"/>
    <hyperlink ref="N96" r:id="rId33" xr:uid="{95547396-0FE5-4832-B20B-DAE186BAA7A4}"/>
    <hyperlink ref="N51" r:id="rId34" xr:uid="{48427D39-BC06-4152-AAF9-3E20B8A60612}"/>
    <hyperlink ref="N91" r:id="rId35" xr:uid="{481B2823-2196-4DF5-95B0-07370AFA3B98}"/>
    <hyperlink ref="N89" r:id="rId36" xr:uid="{C664D8B0-498F-457A-A40A-C95EB5A7E063}"/>
    <hyperlink ref="N97" r:id="rId37" xr:uid="{AA6C946C-CDD9-47FD-9B60-3706069D7BFE}"/>
    <hyperlink ref="N30" r:id="rId38" xr:uid="{BA1C9D39-8A81-46B2-82E9-E7B887AC2329}"/>
    <hyperlink ref="N15" r:id="rId39" xr:uid="{E4D341B1-2D66-4924-82DA-C71A8F6BE416}"/>
    <hyperlink ref="N7" r:id="rId40" xr:uid="{9DA47A67-5EA3-475D-8C11-E05DA2CDA07D}"/>
    <hyperlink ref="N14" r:id="rId41" xr:uid="{C3E3A5BC-0BF3-4057-B67B-44036138FB4A}"/>
    <hyperlink ref="N16" r:id="rId42" xr:uid="{D73A039B-779A-4E91-B231-F953DE08D4B5}"/>
    <hyperlink ref="N17" r:id="rId43" xr:uid="{09572814-792D-4DA2-B485-64CB0476DA06}"/>
    <hyperlink ref="N40" r:id="rId44" xr:uid="{BE518008-2F7E-4863-A0D1-9AB08C4E8A7C}"/>
    <hyperlink ref="N58" r:id="rId45" xr:uid="{06AF9480-0D49-4B61-BA28-716F424A5BD1}"/>
    <hyperlink ref="N4" r:id="rId46" xr:uid="{ADC48B27-1983-4D81-93FB-FD800191A92F}"/>
    <hyperlink ref="N8" r:id="rId47" xr:uid="{2F725B3A-40A5-485D-9CF5-A1897B92108D}"/>
    <hyperlink ref="N13" r:id="rId48" xr:uid="{E638BB56-83CC-44B3-8BA3-F400C727871C}"/>
    <hyperlink ref="N19" r:id="rId49" xr:uid="{34955455-B3DB-496E-BC78-F1F76358686A}"/>
    <hyperlink ref="N35" r:id="rId50" xr:uid="{CB7642BE-CE32-485A-8A6D-0708A6B992DD}"/>
    <hyperlink ref="N38" r:id="rId51" xr:uid="{29E4D742-357A-493C-9BBC-16EF5B303DFC}"/>
    <hyperlink ref="N39" r:id="rId52" xr:uid="{092F640A-F913-4477-9245-C51D1B2554F2}"/>
    <hyperlink ref="N42" r:id="rId53" xr:uid="{17883600-EAFB-406A-A8BA-6945FFD97956}"/>
    <hyperlink ref="N55" r:id="rId54" xr:uid="{743E5F95-6546-4807-A6DB-E0DF042CDE34}"/>
    <hyperlink ref="N60" r:id="rId55" xr:uid="{841C4F6D-B12C-463B-A32B-C5A866985466}"/>
    <hyperlink ref="N11" r:id="rId56" xr:uid="{875D2FBD-E6A9-401C-8E57-A29748FA296A}"/>
    <hyperlink ref="N9" r:id="rId57" xr:uid="{017417A1-BAE3-4FCA-A1EE-403738B296CA}"/>
    <hyperlink ref="N90" r:id="rId58" xr:uid="{F302BEC3-DF40-4E40-A00D-21F40B28DC77}"/>
    <hyperlink ref="N5" r:id="rId59" xr:uid="{B0F95921-EE5A-4950-896A-E4C6FD5C9036}"/>
    <hyperlink ref="N48" r:id="rId60" xr:uid="{00C9B1E9-13DD-449D-93DD-EACF1125FE5F}"/>
    <hyperlink ref="N92" r:id="rId61" xr:uid="{AD385A7D-AE9C-4503-9B96-9542B935CC94}"/>
    <hyperlink ref="N43" r:id="rId62" xr:uid="{BA840983-7B47-4134-8811-FC2867AEE748}"/>
    <hyperlink ref="N41" r:id="rId63" xr:uid="{95FE6FDB-21F7-4618-8FB6-45E6588805E2}"/>
    <hyperlink ref="N36" r:id="rId64" xr:uid="{6F47898B-5AD5-4E1A-9827-17130D6572DC}"/>
    <hyperlink ref="N85" r:id="rId65" xr:uid="{8C7E96DD-FD97-4F05-9997-E3095AB78A1C}"/>
    <hyperlink ref="N79" r:id="rId66" xr:uid="{8EDB3C56-2618-490C-9DBF-A74283C13D04}"/>
    <hyperlink ref="N44" r:id="rId67" xr:uid="{C8B7D941-908C-4FE5-93F0-5E2C1B1180CA}"/>
    <hyperlink ref="N3" r:id="rId68" xr:uid="{AB7FD680-0673-4250-B986-CBD7C3B41305}"/>
    <hyperlink ref="N26" r:id="rId69" display="http://www.me.go.kr/gg/web/board/list.do?menuId=2284&amp;boardMasterId=235&amp;boardCategoryId=&amp;maxIndexPages=10&amp;condition.hideCate=&amp;condition.createId=&amp;decorator=&amp;condition.proxyParam1=&amp;condition.proxyParam2=&amp;condition.proxyParam3=&amp;proxyListPath=&amp;proxyReadPath=&amp;searchKey=title&amp;searchValue=&amp;condition.fromDate=&amp;picker_year=2024&amp;picker_month=7&amp;condition.toDate=&amp;picker_year=2024&amp;picker_month=7" xr:uid="{451F9D49-2A68-47D3-BC31-6315D4FE573F}"/>
    <hyperlink ref="N21" r:id="rId70" xr:uid="{CF9F42FB-DA0B-4BBA-9938-CA46410DA3DF}"/>
    <hyperlink ref="N12" r:id="rId71" xr:uid="{31D6F48B-1D32-4BB1-BE77-A3235A56984A}"/>
    <hyperlink ref="N98" r:id="rId72" xr:uid="{84759FFD-3030-4114-BCF9-A6FDEC2B5014}"/>
    <hyperlink ref="N99" r:id="rId73" xr:uid="{15E05C05-BC81-4FBD-8AB5-64B67C39ABF9}"/>
    <hyperlink ref="N10" r:id="rId74" xr:uid="{29575643-68FB-41FA-988C-53DFE32EC1D5}"/>
    <hyperlink ref="N20" r:id="rId75" xr:uid="{AEF52E1D-D1BA-4C06-A73E-2957F3CBABD3}"/>
    <hyperlink ref="N31" r:id="rId76" xr:uid="{22B6D56C-D64C-4E9A-AB89-E8B3E95B1F88}"/>
    <hyperlink ref="N93" r:id="rId77" xr:uid="{920F5525-8E9A-4D7D-B5D0-B5820FFA1392}"/>
    <hyperlink ref="N100" r:id="rId78" xr:uid="{6F27F56B-D1B0-4D82-A47B-27A0C2124B14}"/>
    <hyperlink ref="N81" r:id="rId79" xr:uid="{D263D8AE-C070-41C2-843D-8787392787FA}"/>
    <hyperlink ref="N101" r:id="rId80" xr:uid="{DB8166CF-996E-4AC4-8BA3-974DCFD4ED10}"/>
    <hyperlink ref="N80" r:id="rId81" xr:uid="{0AF998E8-20DC-490B-955C-830F10CC0A33}"/>
    <hyperlink ref="N33" r:id="rId82" xr:uid="{06572633-C919-4914-9CE0-E3E6A8E252A0}"/>
    <hyperlink ref="N54" r:id="rId83" xr:uid="{D32BD304-382D-4259-BFE5-E4DB59F1B47A}"/>
    <hyperlink ref="N103" r:id="rId84" xr:uid="{7E66CA5A-1990-4F93-80B5-B3BADF780220}"/>
    <hyperlink ref="N34" r:id="rId85" xr:uid="{9B9E8812-FE9E-4034-9D37-55B2A4482FDE}"/>
    <hyperlink ref="N95" r:id="rId86" xr:uid="{C7B9118C-A1C0-447C-873D-F72D11E04A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모집공고 정리시트</vt:lpstr>
      <vt:lpstr>Sheet2</vt:lpstr>
      <vt:lpstr>'모집공고 정리시트'!Extract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2026-07-15T06:10:44Z</dcterms:created>
  <dcterms:modified xsi:type="dcterms:W3CDTF">2026-07-16T06:18:15Z</dcterms:modified>
</cp:coreProperties>
</file>